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橋爪良典(YoshinoriHashiz\Desktop\"/>
    </mc:Choice>
  </mc:AlternateContent>
  <xr:revisionPtr revIDLastSave="0" documentId="13_ncr:1_{B23B343E-F01E-4FD0-8782-68C42301EBA5}" xr6:coauthVersionLast="47" xr6:coauthVersionMax="47" xr10:uidLastSave="{00000000-0000-0000-0000-000000000000}"/>
  <bookViews>
    <workbookView xWindow="5595" yWindow="3285" windowWidth="15360" windowHeight="11295" xr2:uid="{00000000-000D-0000-FFFF-FFFF00000000}"/>
  </bookViews>
  <sheets>
    <sheet name="DATA" sheetId="1" r:id="rId1"/>
    <sheet name="使い方" sheetId="2" r:id="rId2"/>
    <sheet name="更新履歴" sheetId="3"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1" i="1" l="1"/>
  <c r="E40" i="1"/>
  <c r="E39" i="1"/>
  <c r="E38" i="1"/>
  <c r="E34" i="1"/>
  <c r="E33" i="1"/>
  <c r="E32" i="1"/>
  <c r="E31" i="1"/>
  <c r="E27" i="1"/>
  <c r="E26" i="1"/>
  <c r="E25" i="1"/>
  <c r="E24" i="1"/>
  <c r="E20" i="1"/>
  <c r="E19" i="1"/>
  <c r="E18" i="1"/>
  <c r="E17" i="1"/>
  <c r="E14" i="1"/>
  <c r="E13" i="1"/>
  <c r="E12" i="1"/>
  <c r="E11" i="1"/>
  <c r="E10" i="1"/>
</calcChain>
</file>

<file path=xl/sharedStrings.xml><?xml version="1.0" encoding="utf-8"?>
<sst xmlns="http://schemas.openxmlformats.org/spreadsheetml/2006/main" count="201" uniqueCount="147">
  <si>
    <t>得意先</t>
  </si>
  <si>
    <t>得意先名</t>
  </si>
  <si>
    <t>確定受注</t>
  </si>
  <si>
    <t>出荷実績</t>
  </si>
  <si>
    <t>出荷</t>
  </si>
  <si>
    <t>MAX</t>
    <phoneticPr fontId="1"/>
  </si>
  <si>
    <t>内示受注</t>
  </si>
  <si>
    <t>検索年月</t>
    <rPh sb="0" eb="2">
      <t>ケンサク</t>
    </rPh>
    <rPh sb="2" eb="4">
      <t>ネンゲツ</t>
    </rPh>
    <phoneticPr fontId="1"/>
  </si>
  <si>
    <t>手番／安全在</t>
  </si>
  <si>
    <t>検索品番は、正しい品番を入力する。</t>
    <rPh sb="0" eb="2">
      <t>ケンサク</t>
    </rPh>
    <rPh sb="2" eb="4">
      <t>ヒンバン</t>
    </rPh>
    <rPh sb="6" eb="7">
      <t>タダ</t>
    </rPh>
    <rPh sb="9" eb="11">
      <t>ヒンバン</t>
    </rPh>
    <rPh sb="12" eb="14">
      <t>ニュウリョク</t>
    </rPh>
    <phoneticPr fontId="1"/>
  </si>
  <si>
    <t>（３）実績読込を押します。</t>
    <rPh sb="3" eb="5">
      <t>ジッセキ</t>
    </rPh>
    <rPh sb="5" eb="7">
      <t>ヨミコミ</t>
    </rPh>
    <rPh sb="8" eb="9">
      <t>オ</t>
    </rPh>
    <phoneticPr fontId="1"/>
  </si>
  <si>
    <t>（２）品番読込ボタンを押します。</t>
    <rPh sb="3" eb="5">
      <t>ヒンバン</t>
    </rPh>
    <rPh sb="5" eb="7">
      <t>ヨミコミ</t>
    </rPh>
    <rPh sb="11" eb="12">
      <t>オ</t>
    </rPh>
    <phoneticPr fontId="1"/>
  </si>
  <si>
    <t>すると、登録されている工程情報をＭＡＲＩから取得してワークシートに表示します。</t>
    <rPh sb="4" eb="6">
      <t>トウロク</t>
    </rPh>
    <rPh sb="11" eb="13">
      <t>コウテイ</t>
    </rPh>
    <rPh sb="13" eb="15">
      <t>ジョウホウ</t>
    </rPh>
    <rPh sb="22" eb="24">
      <t>シュトク</t>
    </rPh>
    <rPh sb="33" eb="35">
      <t>ヒョウジ</t>
    </rPh>
    <phoneticPr fontId="1"/>
  </si>
  <si>
    <t>指定した検索年月の受発注実績と入出荷実績をＭＡＲＩから取得してワークシートに表示します。</t>
    <rPh sb="0" eb="2">
      <t>シテイ</t>
    </rPh>
    <rPh sb="4" eb="6">
      <t>ケンサク</t>
    </rPh>
    <rPh sb="6" eb="8">
      <t>ネンゲツ</t>
    </rPh>
    <rPh sb="9" eb="12">
      <t>ジュハッチュウ</t>
    </rPh>
    <rPh sb="12" eb="14">
      <t>ジッセキ</t>
    </rPh>
    <rPh sb="15" eb="18">
      <t>ニュウシュッカ</t>
    </rPh>
    <rPh sb="18" eb="20">
      <t>ジッセキ</t>
    </rPh>
    <rPh sb="27" eb="29">
      <t>シュトク</t>
    </rPh>
    <rPh sb="38" eb="40">
      <t>ヒョウジ</t>
    </rPh>
    <phoneticPr fontId="1"/>
  </si>
  <si>
    <t>【注意事項】</t>
    <rPh sb="1" eb="3">
      <t>チュウイ</t>
    </rPh>
    <rPh sb="3" eb="5">
      <t>ジコウ</t>
    </rPh>
    <phoneticPr fontId="1"/>
  </si>
  <si>
    <t>ワークシート（ＤＡＴＡ）を削除しないでください。</t>
    <rPh sb="13" eb="15">
      <t>サクジョ</t>
    </rPh>
    <phoneticPr fontId="1"/>
  </si>
  <si>
    <t>３）</t>
    <phoneticPr fontId="1"/>
  </si>
  <si>
    <t>１）</t>
    <phoneticPr fontId="1"/>
  </si>
  <si>
    <t>２）</t>
    <phoneticPr fontId="1"/>
  </si>
  <si>
    <t>このワークブックはマクロ機能を使っていますので「マクロを有効」にして利用下さい。</t>
    <rPh sb="12" eb="14">
      <t>キノウ</t>
    </rPh>
    <rPh sb="15" eb="16">
      <t>ツカ</t>
    </rPh>
    <rPh sb="28" eb="30">
      <t>ユウコウ</t>
    </rPh>
    <rPh sb="34" eb="36">
      <t>リヨウ</t>
    </rPh>
    <rPh sb="36" eb="37">
      <t>クダ</t>
    </rPh>
    <phoneticPr fontId="1"/>
  </si>
  <si>
    <t>実行するパソコンにはオラクルクライアント（32BIT）がインストールされている必要があります。・</t>
    <rPh sb="0" eb="2">
      <t>ジッコウ</t>
    </rPh>
    <rPh sb="39" eb="41">
      <t>ヒツヨウ</t>
    </rPh>
    <phoneticPr fontId="1"/>
  </si>
  <si>
    <t>４）</t>
    <phoneticPr fontId="1"/>
  </si>
  <si>
    <t>動作確認環境</t>
    <rPh sb="0" eb="2">
      <t>ドウサ</t>
    </rPh>
    <rPh sb="2" eb="4">
      <t>カクニン</t>
    </rPh>
    <rPh sb="4" eb="6">
      <t>カンキョウ</t>
    </rPh>
    <phoneticPr fontId="1"/>
  </si>
  <si>
    <t xml:space="preserve">Microsoft WINDOWS10 PRO </t>
    <phoneticPr fontId="1"/>
  </si>
  <si>
    <t>Microsoft EXCEL 2007</t>
    <phoneticPr fontId="1"/>
  </si>
  <si>
    <t>Oracle Client 12C 32bit</t>
    <phoneticPr fontId="1"/>
  </si>
  <si>
    <t>得意先品目</t>
    <rPh sb="0" eb="3">
      <t>トクイサキ</t>
    </rPh>
    <rPh sb="3" eb="5">
      <t>ヒンモク</t>
    </rPh>
    <phoneticPr fontId="1"/>
  </si>
  <si>
    <t>得意先コード</t>
    <rPh sb="0" eb="3">
      <t>トクイサキ</t>
    </rPh>
    <phoneticPr fontId="1"/>
  </si>
  <si>
    <t/>
  </si>
  <si>
    <t>入荷</t>
  </si>
  <si>
    <t>仕入先</t>
  </si>
  <si>
    <t>仕入先名</t>
  </si>
  <si>
    <t>最上位品番</t>
  </si>
  <si>
    <t>手番／安全在庫</t>
  </si>
  <si>
    <t>月初発注</t>
  </si>
  <si>
    <t>所要量</t>
  </si>
  <si>
    <t>確定発注</t>
  </si>
  <si>
    <t>入荷実績</t>
  </si>
  <si>
    <t>内作品番</t>
    <rPh sb="0" eb="2">
      <t>ナイサク</t>
    </rPh>
    <rPh sb="2" eb="4">
      <t>ヒンバン</t>
    </rPh>
    <phoneticPr fontId="1"/>
  </si>
  <si>
    <t>対象日付</t>
    <rPh sb="0" eb="2">
      <t>タイショウ</t>
    </rPh>
    <rPh sb="2" eb="4">
      <t>ヒヅケ</t>
    </rPh>
    <phoneticPr fontId="1"/>
  </si>
  <si>
    <t>（１）得意先と検索品番と検索年月を入力する。</t>
    <rPh sb="3" eb="6">
      <t>トクイサキ</t>
    </rPh>
    <rPh sb="7" eb="9">
      <t>ケンサク</t>
    </rPh>
    <rPh sb="9" eb="11">
      <t>ヒンバン</t>
    </rPh>
    <rPh sb="12" eb="14">
      <t>ケンサク</t>
    </rPh>
    <rPh sb="14" eb="16">
      <t>ネンゲツ</t>
    </rPh>
    <rPh sb="17" eb="19">
      <t>ニュウリョク</t>
    </rPh>
    <phoneticPr fontId="1"/>
  </si>
  <si>
    <t>対象日付は、品番構成内容の有効日を指定するものです。※デフォルトでは本日を表示します。</t>
    <rPh sb="0" eb="2">
      <t>タイショウ</t>
    </rPh>
    <rPh sb="2" eb="4">
      <t>ヒヅケ</t>
    </rPh>
    <rPh sb="6" eb="8">
      <t>ヒンバン</t>
    </rPh>
    <rPh sb="8" eb="10">
      <t>コウセイ</t>
    </rPh>
    <rPh sb="10" eb="12">
      <t>ナイヨウ</t>
    </rPh>
    <rPh sb="13" eb="15">
      <t>ユウコウ</t>
    </rPh>
    <rPh sb="15" eb="16">
      <t>ビ</t>
    </rPh>
    <rPh sb="17" eb="19">
      <t>シテイ</t>
    </rPh>
    <rPh sb="34" eb="36">
      <t>ホンジツ</t>
    </rPh>
    <rPh sb="37" eb="39">
      <t>ヒョウジ</t>
    </rPh>
    <phoneticPr fontId="1"/>
  </si>
  <si>
    <t>本日在庫</t>
  </si>
  <si>
    <t>１．０</t>
    <phoneticPr fontId="1"/>
  </si>
  <si>
    <t>Release</t>
  </si>
  <si>
    <t>２．０</t>
    <phoneticPr fontId="1"/>
  </si>
  <si>
    <t>所要量履歴テーブルを参照して所要量を出力する</t>
  </si>
  <si>
    <t>２．２</t>
    <phoneticPr fontId="1"/>
  </si>
  <si>
    <t>内示受注データのＳＱＬを変更（詳細内容を表示できないバグの修正）</t>
  </si>
  <si>
    <t>２．３</t>
    <phoneticPr fontId="1"/>
  </si>
  <si>
    <t>構成マスタを有効開始日で抜粋する</t>
  </si>
  <si>
    <t>２．４</t>
    <phoneticPr fontId="1"/>
  </si>
  <si>
    <t>安全在庫でオーバーフローするバグを修正</t>
  </si>
  <si>
    <t>構成マスタの有効開始日指定するＳＱＬの誤りを修正</t>
  </si>
  <si>
    <t>得意先品目検索時に有効開始日を考慮するＳＱＬに変更</t>
  </si>
  <si>
    <t>２．５．３</t>
    <phoneticPr fontId="1"/>
  </si>
  <si>
    <t>適用日により有効開始日と有効終了日の範囲を決定する。</t>
  </si>
  <si>
    <t>ワークブックが開いた時にシステム日付を適用にセットする</t>
    <phoneticPr fontId="1"/>
  </si>
  <si>
    <t>２．６．０</t>
    <phoneticPr fontId="1"/>
  </si>
  <si>
    <t>２．５．０</t>
    <phoneticPr fontId="1"/>
  </si>
  <si>
    <t>得意先品目マスタの有効日のチェックをせずに過去の関連する品番も表示していたバグを修正</t>
  </si>
  <si>
    <t>２．６．１</t>
    <phoneticPr fontId="1"/>
  </si>
  <si>
    <t>構成マスタで有効日が無効のレコードの配下のレコードを出力していたのでSQL文で除外する。</t>
  </si>
  <si>
    <t>２．７．０</t>
    <phoneticPr fontId="1"/>
  </si>
  <si>
    <t>所要量データと確定発注データから「取消（0.完了）」のデータを除外する</t>
  </si>
  <si>
    <t>保管区別品目在庫テーブルから本日分手持ち在庫を取得して表示する</t>
  </si>
  <si>
    <t>２．７．１</t>
    <phoneticPr fontId="1"/>
  </si>
  <si>
    <t>内作品番検索に失敗した場合は、メッセージボックスを表示する</t>
  </si>
  <si>
    <t>（検索エラー時に画面を消去してしまうバグへの対応）</t>
    <rPh sb="1" eb="3">
      <t>ケンサク</t>
    </rPh>
    <rPh sb="6" eb="7">
      <t>ジ</t>
    </rPh>
    <rPh sb="8" eb="10">
      <t>ガメン</t>
    </rPh>
    <rPh sb="11" eb="13">
      <t>ショウキョ</t>
    </rPh>
    <rPh sb="22" eb="24">
      <t>タイオウ</t>
    </rPh>
    <phoneticPr fontId="1"/>
  </si>
  <si>
    <t>確定受注の参照時に内作品番単位で出力から得意先品目単位で出力するように仕様を変更</t>
  </si>
  <si>
    <t>２．７．２</t>
    <phoneticPr fontId="1"/>
  </si>
  <si>
    <t>本日手持ち在庫の計算誤りを修正（保管区別在庫レコードが複数ある場合）</t>
  </si>
  <si>
    <t>品目任意変換値</t>
    <rPh sb="0" eb="2">
      <t>ヒンモク</t>
    </rPh>
    <rPh sb="2" eb="4">
      <t>ニンイ</t>
    </rPh>
    <rPh sb="4" eb="6">
      <t>ヘンカン</t>
    </rPh>
    <rPh sb="6" eb="7">
      <t>アタイ</t>
    </rPh>
    <phoneticPr fontId="1"/>
  </si>
  <si>
    <t>得意先品目</t>
  </si>
  <si>
    <t>統合受注</t>
  </si>
  <si>
    <t>検索年月は、yyyy/mm　で入力する。（上記の例は2022年8月）</t>
    <rPh sb="0" eb="2">
      <t>ケンサク</t>
    </rPh>
    <rPh sb="2" eb="4">
      <t>ネンゲツ</t>
    </rPh>
    <rPh sb="15" eb="17">
      <t>ニュウリョク</t>
    </rPh>
    <rPh sb="21" eb="23">
      <t>ジョウキ</t>
    </rPh>
    <rPh sb="24" eb="25">
      <t>レイ</t>
    </rPh>
    <rPh sb="30" eb="31">
      <t>ネン</t>
    </rPh>
    <rPh sb="32" eb="33">
      <t>ガツ</t>
    </rPh>
    <phoneticPr fontId="1"/>
  </si>
  <si>
    <t>品目任意変換値が設定されている品番は、得意先人変換値を入力します。（例:デンソーのR170など）</t>
    <rPh sb="0" eb="2">
      <t>ヒンモク</t>
    </rPh>
    <rPh sb="2" eb="4">
      <t>ニンイ</t>
    </rPh>
    <rPh sb="4" eb="6">
      <t>ヘンカン</t>
    </rPh>
    <rPh sb="6" eb="7">
      <t>アタイ</t>
    </rPh>
    <rPh sb="8" eb="10">
      <t>セッテイ</t>
    </rPh>
    <rPh sb="15" eb="17">
      <t>ヒンバン</t>
    </rPh>
    <rPh sb="19" eb="22">
      <t>トクイサキ</t>
    </rPh>
    <rPh sb="22" eb="23">
      <t>ニン</t>
    </rPh>
    <rPh sb="23" eb="25">
      <t>ヘンカン</t>
    </rPh>
    <rPh sb="25" eb="26">
      <t>アタイ</t>
    </rPh>
    <rPh sb="27" eb="29">
      <t>ニュウリョク</t>
    </rPh>
    <rPh sb="34" eb="35">
      <t>レイ</t>
    </rPh>
    <phoneticPr fontId="1"/>
  </si>
  <si>
    <t>品目任意変換値が設定されていない場合は、「*」アスタリスクをセットします。</t>
    <rPh sb="0" eb="2">
      <t>ヒンモク</t>
    </rPh>
    <rPh sb="2" eb="4">
      <t>ニンイ</t>
    </rPh>
    <rPh sb="4" eb="6">
      <t>ヘンカン</t>
    </rPh>
    <rPh sb="6" eb="7">
      <t>アタイ</t>
    </rPh>
    <rPh sb="8" eb="10">
      <t>セッテイ</t>
    </rPh>
    <rPh sb="16" eb="18">
      <t>バアイ</t>
    </rPh>
    <phoneticPr fontId="1"/>
  </si>
  <si>
    <t>２．８．０</t>
    <phoneticPr fontId="1"/>
  </si>
  <si>
    <t>得意先品目任意変換値を指定してターゲット品目を決定する</t>
    <phoneticPr fontId="1"/>
  </si>
  <si>
    <t>統合受注情報も表示を行う。</t>
    <rPh sb="4" eb="6">
      <t>ジョウホウ</t>
    </rPh>
    <rPh sb="7" eb="9">
      <t>ヒョウジ</t>
    </rPh>
    <rPh sb="10" eb="11">
      <t>オコナ</t>
    </rPh>
    <phoneticPr fontId="1"/>
  </si>
  <si>
    <t>出荷部分の呼び出しを得意先品目から社内品番（内作）に戻す</t>
    <rPh sb="0" eb="2">
      <t>シュッカ</t>
    </rPh>
    <rPh sb="2" eb="4">
      <t>ブブン</t>
    </rPh>
    <rPh sb="5" eb="6">
      <t>ヨ</t>
    </rPh>
    <rPh sb="7" eb="8">
      <t>ダ</t>
    </rPh>
    <rPh sb="10" eb="13">
      <t>トクイサキ</t>
    </rPh>
    <rPh sb="13" eb="15">
      <t>ヒンモク</t>
    </rPh>
    <rPh sb="17" eb="19">
      <t>シャナイ</t>
    </rPh>
    <rPh sb="19" eb="21">
      <t>ヒンバン</t>
    </rPh>
    <rPh sb="22" eb="24">
      <t>ナイサク</t>
    </rPh>
    <rPh sb="26" eb="27">
      <t>モド</t>
    </rPh>
    <phoneticPr fontId="1"/>
  </si>
  <si>
    <t>前月残</t>
    <rPh sb="0" eb="2">
      <t>ゼンゲツ</t>
    </rPh>
    <rPh sb="2" eb="3">
      <t>ザン</t>
    </rPh>
    <phoneticPr fontId="1"/>
  </si>
  <si>
    <t>品目番号/階層</t>
  </si>
  <si>
    <t>(1)</t>
  </si>
  <si>
    <t>売上実績</t>
  </si>
  <si>
    <t>２．９．０</t>
    <phoneticPr fontId="1"/>
  </si>
  <si>
    <t>手配区分（加工依頼、かんばん）を出力する</t>
    <phoneticPr fontId="1"/>
  </si>
  <si>
    <t>前月以前の確定受注残と確定発注残を出力する</t>
    <phoneticPr fontId="1"/>
  </si>
  <si>
    <t>３．０．０</t>
    <phoneticPr fontId="1"/>
  </si>
  <si>
    <t>工程にレベル番号（階層）を追加して表示する</t>
    <rPh sb="0" eb="2">
      <t>コウテイ</t>
    </rPh>
    <rPh sb="9" eb="11">
      <t>カイソウ</t>
    </rPh>
    <rPh sb="17" eb="19">
      <t>ヒョウジ</t>
    </rPh>
    <phoneticPr fontId="1"/>
  </si>
  <si>
    <t>複数の得意先があった場合に最初の得意先しか実績データを取得しないバグを修正</t>
  </si>
  <si>
    <t>３．０．１</t>
    <phoneticPr fontId="1"/>
  </si>
  <si>
    <t>手配区分/保管区</t>
  </si>
  <si>
    <t>３．１．0</t>
    <phoneticPr fontId="1"/>
  </si>
  <si>
    <t>工程に保管区を表示する</t>
    <rPh sb="0" eb="2">
      <t>コウテイ</t>
    </rPh>
    <rPh sb="3" eb="5">
      <t>ホカン</t>
    </rPh>
    <rPh sb="5" eb="6">
      <t>ク</t>
    </rPh>
    <rPh sb="7" eb="9">
      <t>ヒョウジ</t>
    </rPh>
    <phoneticPr fontId="1"/>
  </si>
  <si>
    <t>(2)</t>
  </si>
  <si>
    <t>３．２．0</t>
    <phoneticPr fontId="1"/>
  </si>
  <si>
    <t>複数の得意先があった場合は内示受注～出荷実績を集計した行を追加する</t>
    <rPh sb="13" eb="15">
      <t>ナイジ</t>
    </rPh>
    <rPh sb="15" eb="17">
      <t>ジュチュウ</t>
    </rPh>
    <rPh sb="18" eb="20">
      <t>シュッカ</t>
    </rPh>
    <rPh sb="20" eb="22">
      <t>ジッセキ</t>
    </rPh>
    <rPh sb="23" eb="25">
      <t>シュウケイ</t>
    </rPh>
    <rPh sb="27" eb="28">
      <t>ギョウ</t>
    </rPh>
    <rPh sb="29" eb="31">
      <t>ツイカ</t>
    </rPh>
    <phoneticPr fontId="1"/>
  </si>
  <si>
    <t>*</t>
    <phoneticPr fontId="1"/>
  </si>
  <si>
    <t>かんばん</t>
  </si>
  <si>
    <t>2024/03</t>
    <phoneticPr fontId="1"/>
  </si>
  <si>
    <t>5年9組(3.2.2)</t>
    <rPh sb="1" eb="2">
      <t>ネン</t>
    </rPh>
    <rPh sb="3" eb="4">
      <t>クミ</t>
    </rPh>
    <phoneticPr fontId="1"/>
  </si>
  <si>
    <t>３．２．２</t>
    <phoneticPr fontId="1"/>
  </si>
  <si>
    <t>トータル数が初期化されないバグを修正</t>
    <rPh sb="4" eb="5">
      <t>スウ</t>
    </rPh>
    <rPh sb="6" eb="9">
      <t>ショキカ</t>
    </rPh>
    <rPh sb="16" eb="18">
      <t>シュウセイ</t>
    </rPh>
    <phoneticPr fontId="1"/>
  </si>
  <si>
    <t>アスモ</t>
  </si>
  <si>
    <t>丸栄宮崎</t>
  </si>
  <si>
    <t>M80</t>
  </si>
  <si>
    <t>03/01</t>
    <phoneticPr fontId="1"/>
  </si>
  <si>
    <t>03/02</t>
    <phoneticPr fontId="1"/>
  </si>
  <si>
    <t>03/03</t>
    <phoneticPr fontId="1"/>
  </si>
  <si>
    <t>03/04</t>
    <phoneticPr fontId="1"/>
  </si>
  <si>
    <t>03/05</t>
    <phoneticPr fontId="1"/>
  </si>
  <si>
    <t>03/06</t>
    <phoneticPr fontId="1"/>
  </si>
  <si>
    <t>03/07</t>
    <phoneticPr fontId="1"/>
  </si>
  <si>
    <t>03/08</t>
    <phoneticPr fontId="1"/>
  </si>
  <si>
    <t>03/09</t>
    <phoneticPr fontId="1"/>
  </si>
  <si>
    <t>03/10</t>
    <phoneticPr fontId="1"/>
  </si>
  <si>
    <t>03/11</t>
    <phoneticPr fontId="1"/>
  </si>
  <si>
    <t>03/12</t>
    <phoneticPr fontId="1"/>
  </si>
  <si>
    <t>03/13</t>
    <phoneticPr fontId="1"/>
  </si>
  <si>
    <t>03/14</t>
    <phoneticPr fontId="1"/>
  </si>
  <si>
    <t>03/15</t>
    <phoneticPr fontId="1"/>
  </si>
  <si>
    <t>03/16</t>
    <phoneticPr fontId="1"/>
  </si>
  <si>
    <t>03/17</t>
    <phoneticPr fontId="1"/>
  </si>
  <si>
    <t>03/18</t>
    <phoneticPr fontId="1"/>
  </si>
  <si>
    <t>03/19</t>
    <phoneticPr fontId="1"/>
  </si>
  <si>
    <t>03/20</t>
    <phoneticPr fontId="1"/>
  </si>
  <si>
    <t>03/21</t>
    <phoneticPr fontId="1"/>
  </si>
  <si>
    <t>03/22</t>
    <phoneticPr fontId="1"/>
  </si>
  <si>
    <t>03/23</t>
    <phoneticPr fontId="1"/>
  </si>
  <si>
    <t>03/24</t>
    <phoneticPr fontId="1"/>
  </si>
  <si>
    <t>03/25</t>
    <phoneticPr fontId="1"/>
  </si>
  <si>
    <t>03/26</t>
    <phoneticPr fontId="1"/>
  </si>
  <si>
    <t>03/27</t>
    <phoneticPr fontId="1"/>
  </si>
  <si>
    <t>03/28</t>
    <phoneticPr fontId="1"/>
  </si>
  <si>
    <t>03/29</t>
    <phoneticPr fontId="1"/>
  </si>
  <si>
    <t>03/30</t>
    <phoneticPr fontId="1"/>
  </si>
  <si>
    <t>03/31</t>
    <phoneticPr fontId="1"/>
  </si>
  <si>
    <t>062414-0160</t>
  </si>
  <si>
    <t>062414-0160</t>
    <phoneticPr fontId="1"/>
  </si>
  <si>
    <t>062414-0160-9222</t>
  </si>
  <si>
    <t>アスモ有償</t>
  </si>
  <si>
    <t>062193-0160-9990</t>
  </si>
  <si>
    <t>S222</t>
  </si>
  <si>
    <t>062415-0260-9990</t>
  </si>
  <si>
    <t>949120-0340-9990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</si>
</sst>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yyyy/mm/dd"/>
  </numFmts>
  <fonts count="14" x14ac:knownFonts="1">
    <font>
      <sz val="11"/>
      <color theme="1"/>
      <name val="ＭＳ Ｐゴシック"/>
      <family val="2"/>
      <charset val="128"/>
      <scheme val="minor"/>
    </font>
    <font>
      <sz val="6"/>
      <name val="ＭＳ Ｐゴシック"/>
      <family val="2"/>
      <charset val="128"/>
      <scheme val="minor"/>
    </font>
    <font>
      <sz val="11"/>
      <color rgb="FF010000"/>
      <name val="ＭＳ Ｐゴシック"/>
      <family val="2"/>
      <charset val="128"/>
      <scheme val="minor"/>
    </font>
    <font>
      <b/>
      <sz val="11"/>
      <name val="ＭＳ Ｐゴシック"/>
      <family val="3"/>
      <charset val="128"/>
      <scheme val="minor"/>
    </font>
    <font>
      <sz val="11"/>
      <color indexed="8"/>
      <name val="ＭＳ Ｐゴシック"/>
      <family val="2"/>
      <charset val="128"/>
      <scheme val="minor"/>
    </font>
    <font>
      <sz val="11"/>
      <color indexed="25"/>
      <name val="ＭＳ Ｐゴシック"/>
      <family val="2"/>
      <charset val="128"/>
      <scheme val="minor"/>
    </font>
    <font>
      <sz val="11"/>
      <color indexed="30"/>
      <name val="ＭＳ Ｐゴシック"/>
      <family val="2"/>
      <charset val="128"/>
      <scheme val="minor"/>
    </font>
    <font>
      <b/>
      <sz val="11"/>
      <color theme="1"/>
      <name val="ＭＳ Ｐゴシック"/>
      <family val="3"/>
      <charset val="128"/>
      <scheme val="minor"/>
    </font>
    <font>
      <sz val="11"/>
      <color rgb="FFFF0000"/>
      <name val="ＭＳ Ｐゴシック"/>
      <family val="2"/>
      <charset val="128"/>
      <scheme val="minor"/>
    </font>
    <font>
      <sz val="11"/>
      <color indexed="57"/>
      <name val="ＭＳ Ｐゴシック"/>
      <family val="2"/>
      <charset val="128"/>
      <scheme val="minor"/>
    </font>
    <font>
      <sz val="11"/>
      <color indexed="33"/>
      <name val="ＭＳ Ｐゴシック"/>
      <family val="2"/>
      <charset val="128"/>
      <scheme val="minor"/>
    </font>
    <font>
      <sz val="11"/>
      <color indexed="10"/>
      <name val="ＭＳ Ｐゴシック"/>
      <family val="2"/>
      <charset val="128"/>
      <scheme val="minor"/>
    </font>
    <font>
      <sz val="11"/>
      <color theme="0"/>
      <name val="ＭＳ Ｐゴシック"/>
      <family val="2"/>
      <charset val="128"/>
      <scheme val="minor"/>
    </font>
    <font>
      <sz val="11"/>
      <color indexed="20"/>
      <name val="ＭＳ Ｐゴシック"/>
      <family val="2"/>
      <charset val="128"/>
      <scheme val="minor"/>
    </font>
  </fonts>
  <fills count="10">
    <fill>
      <patternFill patternType="none"/>
    </fill>
    <fill>
      <patternFill patternType="gray125"/>
    </fill>
    <fill>
      <patternFill patternType="solid">
        <fgColor theme="0" tint="-0.14999847407452621"/>
        <bgColor indexed="64"/>
      </patternFill>
    </fill>
    <fill>
      <patternFill patternType="solid">
        <fgColor indexed="43"/>
        <bgColor indexed="64"/>
      </patternFill>
    </fill>
    <fill>
      <patternFill patternType="solid">
        <fgColor indexed="51"/>
        <bgColor indexed="64"/>
      </patternFill>
    </fill>
    <fill>
      <patternFill patternType="solid">
        <fgColor indexed="9"/>
        <bgColor indexed="64"/>
      </patternFill>
    </fill>
    <fill>
      <patternFill patternType="solid">
        <fgColor theme="0" tint="-0.249977111117893"/>
        <bgColor indexed="64"/>
      </patternFill>
    </fill>
    <fill>
      <patternFill patternType="solid">
        <fgColor indexed="41"/>
        <bgColor indexed="64"/>
      </patternFill>
    </fill>
    <fill>
      <patternFill patternType="solid">
        <fgColor theme="0" tint="-0.34998626667073579"/>
        <bgColor indexed="64"/>
      </patternFill>
    </fill>
    <fill>
      <patternFill patternType="solid">
        <fgColor theme="9" tint="-0.249977111117893"/>
        <bgColor indexed="64"/>
      </patternFill>
    </fill>
  </fills>
  <borders count="10">
    <border>
      <left/>
      <right/>
      <top/>
      <bottom/>
      <diagonal/>
    </border>
    <border>
      <left/>
      <right/>
      <top/>
      <bottom style="thin">
        <color auto="1"/>
      </bottom>
      <diagonal/>
    </border>
    <border>
      <left/>
      <right/>
      <top style="thin">
        <color auto="1"/>
      </top>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bottom/>
      <diagonal/>
    </border>
    <border>
      <left style="medium">
        <color theme="0" tint="-0.34998626667073579"/>
      </left>
      <right/>
      <top/>
      <bottom style="medium">
        <color theme="0" tint="-0.34998626667073579"/>
      </bottom>
      <diagonal/>
    </border>
    <border>
      <left style="medium">
        <color theme="0" tint="-0.24994659260841701"/>
      </left>
      <right/>
      <top style="medium">
        <color theme="0" tint="-0.24994659260841701"/>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s>
  <cellStyleXfs count="1">
    <xf numFmtId="0" fontId="0" fillId="0" borderId="0">
      <alignment vertical="center"/>
    </xf>
  </cellStyleXfs>
  <cellXfs count="55">
    <xf numFmtId="0" fontId="0" fillId="0" borderId="0" xfId="0">
      <alignment vertical="center"/>
    </xf>
    <xf numFmtId="0" fontId="0" fillId="0" borderId="1" xfId="0" applyBorder="1">
      <alignment vertical="center"/>
    </xf>
    <xf numFmtId="0" fontId="0" fillId="0" borderId="2" xfId="0" applyBorder="1">
      <alignment vertical="center"/>
    </xf>
    <xf numFmtId="49" fontId="0" fillId="4" borderId="2" xfId="0" applyNumberFormat="1" applyFill="1" applyBorder="1">
      <alignment vertical="center"/>
    </xf>
    <xf numFmtId="49" fontId="0" fillId="4" borderId="0" xfId="0" applyNumberFormat="1" applyFill="1">
      <alignment vertical="center"/>
    </xf>
    <xf numFmtId="0" fontId="0" fillId="2" borderId="3" xfId="0" applyFill="1" applyBorder="1">
      <alignment vertical="center"/>
    </xf>
    <xf numFmtId="0" fontId="2" fillId="0" borderId="0" xfId="0" applyFont="1">
      <alignment vertical="center"/>
    </xf>
    <xf numFmtId="49" fontId="0" fillId="0" borderId="5" xfId="0" applyNumberFormat="1" applyBorder="1">
      <alignment vertical="center"/>
    </xf>
    <xf numFmtId="0" fontId="3" fillId="6" borderId="6" xfId="0" applyFont="1" applyFill="1" applyBorder="1">
      <alignment vertical="center"/>
    </xf>
    <xf numFmtId="0" fontId="3" fillId="6" borderId="7" xfId="0" applyFont="1" applyFill="1" applyBorder="1">
      <alignment vertical="center"/>
    </xf>
    <xf numFmtId="0" fontId="4" fillId="0" borderId="0" xfId="0" applyFont="1">
      <alignment vertical="center"/>
    </xf>
    <xf numFmtId="49" fontId="5" fillId="0" borderId="2" xfId="0" applyNumberFormat="1" applyFont="1" applyBorder="1">
      <alignment vertical="center"/>
    </xf>
    <xf numFmtId="49" fontId="6" fillId="0" borderId="0" xfId="0" applyNumberFormat="1" applyFont="1">
      <alignment vertical="center"/>
    </xf>
    <xf numFmtId="49" fontId="4" fillId="0" borderId="0" xfId="0" applyNumberFormat="1" applyFont="1">
      <alignment vertical="center"/>
    </xf>
    <xf numFmtId="0" fontId="7" fillId="0" borderId="0" xfId="0" applyFont="1">
      <alignment vertical="center"/>
    </xf>
    <xf numFmtId="49" fontId="0" fillId="3" borderId="0" xfId="0" applyNumberFormat="1" applyFill="1" applyAlignment="1">
      <alignment horizontal="right" vertical="center"/>
    </xf>
    <xf numFmtId="49" fontId="0" fillId="4" borderId="0" xfId="0" applyNumberFormat="1" applyFill="1" applyAlignment="1">
      <alignment horizontal="right" vertical="center"/>
    </xf>
    <xf numFmtId="0" fontId="8" fillId="0" borderId="0" xfId="0" applyFont="1">
      <alignment vertical="center"/>
    </xf>
    <xf numFmtId="176" fontId="0" fillId="0" borderId="0" xfId="0" applyNumberFormat="1">
      <alignment vertical="center"/>
    </xf>
    <xf numFmtId="49" fontId="0" fillId="0" borderId="0" xfId="0" applyNumberFormat="1">
      <alignment vertical="center"/>
    </xf>
    <xf numFmtId="176" fontId="5" fillId="0" borderId="2" xfId="0" applyNumberFormat="1" applyFont="1" applyBorder="1">
      <alignment vertical="center"/>
    </xf>
    <xf numFmtId="0" fontId="5" fillId="0" borderId="2" xfId="0" applyFont="1" applyBorder="1">
      <alignment vertical="center"/>
    </xf>
    <xf numFmtId="176" fontId="6" fillId="0" borderId="0" xfId="0" applyNumberFormat="1" applyFont="1">
      <alignment vertical="center"/>
    </xf>
    <xf numFmtId="0" fontId="6" fillId="0" borderId="0" xfId="0" applyFont="1">
      <alignment vertical="center"/>
    </xf>
    <xf numFmtId="176" fontId="4" fillId="0" borderId="0" xfId="0" applyNumberFormat="1" applyFont="1">
      <alignment vertical="center"/>
    </xf>
    <xf numFmtId="0" fontId="3" fillId="6" borderId="0" xfId="0" applyFont="1" applyFill="1">
      <alignment vertical="center"/>
    </xf>
    <xf numFmtId="0" fontId="0" fillId="0" borderId="5" xfId="0" applyBorder="1" applyAlignment="1">
      <alignment horizontal="left" vertical="center"/>
    </xf>
    <xf numFmtId="49" fontId="0" fillId="7" borderId="2" xfId="0" applyNumberFormat="1" applyFill="1" applyBorder="1">
      <alignment vertical="center"/>
    </xf>
    <xf numFmtId="49" fontId="0" fillId="7" borderId="0" xfId="0" applyNumberFormat="1" applyFill="1">
      <alignment vertical="center"/>
    </xf>
    <xf numFmtId="49" fontId="9" fillId="0" borderId="0" xfId="0" applyNumberFormat="1" applyFont="1">
      <alignment vertical="center"/>
    </xf>
    <xf numFmtId="176" fontId="9" fillId="0" borderId="0" xfId="0" applyNumberFormat="1" applyFont="1">
      <alignment vertical="center"/>
    </xf>
    <xf numFmtId="0" fontId="9" fillId="0" borderId="0" xfId="0" applyFont="1">
      <alignment vertical="center"/>
    </xf>
    <xf numFmtId="49" fontId="0" fillId="7" borderId="1" xfId="0" applyNumberFormat="1" applyFill="1" applyBorder="1">
      <alignment vertical="center"/>
    </xf>
    <xf numFmtId="0" fontId="3" fillId="6" borderId="8" xfId="0" applyFont="1" applyFill="1" applyBorder="1">
      <alignment vertical="center"/>
    </xf>
    <xf numFmtId="0" fontId="0" fillId="0" borderId="9" xfId="0" applyBorder="1">
      <alignment vertical="center"/>
    </xf>
    <xf numFmtId="0" fontId="0" fillId="8" borderId="3" xfId="0" applyFill="1" applyBorder="1">
      <alignment vertical="center"/>
    </xf>
    <xf numFmtId="177" fontId="0" fillId="0" borderId="4" xfId="0" applyNumberFormat="1" applyBorder="1">
      <alignment vertical="center"/>
    </xf>
    <xf numFmtId="0" fontId="0" fillId="0" borderId="4" xfId="0" applyBorder="1">
      <alignment vertical="center"/>
    </xf>
    <xf numFmtId="0" fontId="0" fillId="0" borderId="5" xfId="0" applyBorder="1" applyAlignment="1">
      <alignment horizontal="left" vertical="center" wrapText="1"/>
    </xf>
    <xf numFmtId="49" fontId="10" fillId="0" borderId="0" xfId="0" applyNumberFormat="1" applyFont="1">
      <alignment vertical="center"/>
    </xf>
    <xf numFmtId="49" fontId="10" fillId="0" borderId="1" xfId="0" applyNumberFormat="1" applyFont="1" applyBorder="1">
      <alignment vertical="center"/>
    </xf>
    <xf numFmtId="176" fontId="0" fillId="0" borderId="1" xfId="0" applyNumberFormat="1" applyBorder="1">
      <alignment vertical="center"/>
    </xf>
    <xf numFmtId="14" fontId="0" fillId="0" borderId="0" xfId="0" applyNumberFormat="1">
      <alignment vertical="center"/>
    </xf>
    <xf numFmtId="49" fontId="11" fillId="0" borderId="0" xfId="0" applyNumberFormat="1" applyFont="1">
      <alignment vertical="center"/>
    </xf>
    <xf numFmtId="176" fontId="11" fillId="0" borderId="0" xfId="0" applyNumberFormat="1" applyFont="1">
      <alignment vertical="center"/>
    </xf>
    <xf numFmtId="0" fontId="11" fillId="0" borderId="0" xfId="0" applyFont="1">
      <alignment vertical="center"/>
    </xf>
    <xf numFmtId="177" fontId="12" fillId="9" borderId="0" xfId="0" applyNumberFormat="1" applyFont="1" applyFill="1" applyAlignment="1">
      <alignment horizontal="center" vertical="center"/>
    </xf>
    <xf numFmtId="0" fontId="0" fillId="0" borderId="0" xfId="0" quotePrefix="1">
      <alignment vertical="center"/>
    </xf>
    <xf numFmtId="49" fontId="0" fillId="5" borderId="0" xfId="0" applyNumberFormat="1" applyFill="1" applyAlignment="1">
      <alignment horizontal="right" vertical="center"/>
    </xf>
    <xf numFmtId="0" fontId="0" fillId="5" borderId="0" xfId="0" applyFill="1">
      <alignment vertical="center"/>
    </xf>
    <xf numFmtId="0" fontId="5" fillId="0" borderId="0" xfId="0" applyFont="1">
      <alignment vertical="center"/>
    </xf>
    <xf numFmtId="49" fontId="0" fillId="4" borderId="1" xfId="0" applyNumberFormat="1" applyFill="1" applyBorder="1">
      <alignment vertical="center"/>
    </xf>
    <xf numFmtId="49" fontId="13" fillId="0" borderId="0" xfId="0" applyNumberFormat="1" applyFont="1">
      <alignment vertical="center"/>
    </xf>
    <xf numFmtId="176" fontId="13" fillId="0" borderId="0" xfId="0" applyNumberFormat="1" applyFont="1">
      <alignment vertical="center"/>
    </xf>
    <xf numFmtId="0" fontId="13" fillId="0" borderId="0" xfId="0" applyFont="1">
      <alignment vertical="center"/>
    </xf>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2</xdr:row>
          <xdr:rowOff>9525</xdr:rowOff>
        </xdr:from>
        <xdr:to>
          <xdr:col>3</xdr:col>
          <xdr:colOff>752475</xdr:colOff>
          <xdr:row>4</xdr:row>
          <xdr:rowOff>114300</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xdr:row>
          <xdr:rowOff>0</xdr:rowOff>
        </xdr:from>
        <xdr:to>
          <xdr:col>4</xdr:col>
          <xdr:colOff>828675</xdr:colOff>
          <xdr:row>4</xdr:row>
          <xdr:rowOff>114300</xdr:rowOff>
        </xdr:to>
        <xdr:sp macro="" textlink="">
          <xdr:nvSpPr>
            <xdr:cNvPr id="1028" name="CommandButton2"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26</xdr:col>
      <xdr:colOff>107674</xdr:colOff>
      <xdr:row>37</xdr:row>
      <xdr:rowOff>33131</xdr:rowOff>
    </xdr:from>
    <xdr:to>
      <xdr:col>29</xdr:col>
      <xdr:colOff>687456</xdr:colOff>
      <xdr:row>44</xdr:row>
      <xdr:rowOff>74543</xdr:rowOff>
    </xdr:to>
    <xdr:cxnSp macro="">
      <xdr:nvCxnSpPr>
        <xdr:cNvPr id="7" name="直線矢印コネクタ 6">
          <a:extLst>
            <a:ext uri="{FF2B5EF4-FFF2-40B4-BE49-F238E27FC236}">
              <a16:creationId xmlns:a16="http://schemas.microsoft.com/office/drawing/2014/main" id="{00000000-0008-0000-0000-000007000000}"/>
            </a:ext>
          </a:extLst>
        </xdr:cNvPr>
        <xdr:cNvCxnSpPr/>
      </xdr:nvCxnSpPr>
      <xdr:spPr>
        <a:xfrm flipV="1">
          <a:off x="23679978" y="6526696"/>
          <a:ext cx="3114261" cy="125895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476250</xdr:colOff>
      <xdr:row>20</xdr:row>
      <xdr:rowOff>95250</xdr:rowOff>
    </xdr:from>
    <xdr:to>
      <xdr:col>2</xdr:col>
      <xdr:colOff>95250</xdr:colOff>
      <xdr:row>24</xdr:row>
      <xdr:rowOff>85725</xdr:rowOff>
    </xdr:to>
    <xdr:pic>
      <xdr:nvPicPr>
        <xdr:cNvPr id="2050" name="Picture 2">
          <a:extLst>
            <a:ext uri="{FF2B5EF4-FFF2-40B4-BE49-F238E27FC236}">
              <a16:creationId xmlns:a16="http://schemas.microsoft.com/office/drawing/2014/main" id="{00000000-0008-0000-01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0" y="3181350"/>
          <a:ext cx="990600" cy="676275"/>
        </a:xfrm>
        <a:prstGeom prst="rect">
          <a:avLst/>
        </a:prstGeom>
        <a:noFill/>
        <a:ln w="1">
          <a:noFill/>
          <a:miter lim="800000"/>
          <a:headEnd/>
          <a:tailEnd type="none" w="med" len="med"/>
        </a:ln>
        <a:effectLst/>
      </xdr:spPr>
    </xdr:pic>
    <xdr:clientData/>
  </xdr:twoCellAnchor>
  <xdr:twoCellAnchor editAs="oneCell">
    <xdr:from>
      <xdr:col>5</xdr:col>
      <xdr:colOff>0</xdr:colOff>
      <xdr:row>141</xdr:row>
      <xdr:rowOff>0</xdr:rowOff>
    </xdr:from>
    <xdr:to>
      <xdr:col>28</xdr:col>
      <xdr:colOff>228600</xdr:colOff>
      <xdr:row>197</xdr:row>
      <xdr:rowOff>19050</xdr:rowOff>
    </xdr:to>
    <xdr:pic>
      <xdr:nvPicPr>
        <xdr:cNvPr id="2054" name="Picture 6">
          <a:extLst>
            <a:ext uri="{FF2B5EF4-FFF2-40B4-BE49-F238E27FC236}">
              <a16:creationId xmlns:a16="http://schemas.microsoft.com/office/drawing/2014/main" id="{00000000-0008-0000-0100-000006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429000" y="23831550"/>
          <a:ext cx="16002000" cy="9620250"/>
        </a:xfrm>
        <a:prstGeom prst="rect">
          <a:avLst/>
        </a:prstGeom>
        <a:noFill/>
        <a:ln w="1">
          <a:noFill/>
          <a:miter lim="800000"/>
          <a:headEnd/>
          <a:tailEnd type="none" w="med" len="med"/>
        </a:ln>
        <a:effectLst/>
      </xdr:spPr>
    </xdr:pic>
    <xdr:clientData/>
  </xdr:twoCellAnchor>
  <xdr:twoCellAnchor editAs="oneCell">
    <xdr:from>
      <xdr:col>0</xdr:col>
      <xdr:colOff>638175</xdr:colOff>
      <xdr:row>30</xdr:row>
      <xdr:rowOff>133350</xdr:rowOff>
    </xdr:from>
    <xdr:to>
      <xdr:col>2</xdr:col>
      <xdr:colOff>219075</xdr:colOff>
      <xdr:row>34</xdr:row>
      <xdr:rowOff>104775</xdr:rowOff>
    </xdr:to>
    <xdr:pic>
      <xdr:nvPicPr>
        <xdr:cNvPr id="2056" name="Picture 8">
          <a:extLst>
            <a:ext uri="{FF2B5EF4-FFF2-40B4-BE49-F238E27FC236}">
              <a16:creationId xmlns:a16="http://schemas.microsoft.com/office/drawing/2014/main" id="{00000000-0008-0000-0100-00000808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38175" y="4933950"/>
          <a:ext cx="952500" cy="657225"/>
        </a:xfrm>
        <a:prstGeom prst="rect">
          <a:avLst/>
        </a:prstGeom>
        <a:noFill/>
        <a:ln w="1">
          <a:noFill/>
          <a:miter lim="800000"/>
          <a:headEnd/>
          <a:tailEnd type="none" w="med" len="med"/>
        </a:ln>
        <a:effectLst/>
      </xdr:spPr>
    </xdr:pic>
    <xdr:clientData/>
  </xdr:twoCellAnchor>
  <xdr:twoCellAnchor editAs="oneCell">
    <xdr:from>
      <xdr:col>0</xdr:col>
      <xdr:colOff>323850</xdr:colOff>
      <xdr:row>2</xdr:row>
      <xdr:rowOff>161925</xdr:rowOff>
    </xdr:from>
    <xdr:to>
      <xdr:col>5</xdr:col>
      <xdr:colOff>323850</xdr:colOff>
      <xdr:row>12</xdr:row>
      <xdr:rowOff>41079</xdr:rowOff>
    </xdr:to>
    <xdr:pic>
      <xdr:nvPicPr>
        <xdr:cNvPr id="3" name="図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
        <a:stretch>
          <a:fillRect/>
        </a:stretch>
      </xdr:blipFill>
      <xdr:spPr>
        <a:xfrm>
          <a:off x="323850" y="504825"/>
          <a:ext cx="3429000" cy="1593654"/>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M150"/>
  <sheetViews>
    <sheetView showGridLines="0" tabSelected="1" zoomScale="115" zoomScaleNormal="115" workbookViewId="0">
      <pane xSplit="5" ySplit="9" topLeftCell="S10" activePane="bottomRight" state="frozen"/>
      <selection pane="topRight" activeCell="F1" sqref="F1"/>
      <selection pane="bottomLeft" activeCell="A9" sqref="A9"/>
      <selection pane="bottomRight" activeCell="D14" sqref="D14"/>
    </sheetView>
  </sheetViews>
  <sheetFormatPr defaultRowHeight="13.5" x14ac:dyDescent="0.15"/>
  <cols>
    <col min="1" max="1" width="15.375" customWidth="1"/>
    <col min="2" max="2" width="22.875" customWidth="1"/>
    <col min="3" max="3" width="13.125" customWidth="1"/>
    <col min="4" max="5" width="12.625" customWidth="1"/>
    <col min="6" max="35" width="11.125" customWidth="1"/>
    <col min="37" max="37" width="9.5" bestFit="1" customWidth="1"/>
  </cols>
  <sheetData>
    <row r="1" spans="1:60" x14ac:dyDescent="0.15">
      <c r="A1" s="14" t="s">
        <v>102</v>
      </c>
      <c r="F1" s="19"/>
    </row>
    <row r="2" spans="1:60" ht="14.25" thickBot="1" x14ac:dyDescent="0.2">
      <c r="E2" s="6"/>
      <c r="G2" s="6"/>
      <c r="AA2" s="6"/>
    </row>
    <row r="3" spans="1:60" ht="14.25" thickBot="1" x14ac:dyDescent="0.2">
      <c r="A3" s="25" t="s">
        <v>27</v>
      </c>
      <c r="B3" s="26">
        <v>191</v>
      </c>
      <c r="F3" s="19"/>
      <c r="G3" s="6"/>
      <c r="J3" s="6"/>
      <c r="AJ3" s="5" t="s">
        <v>5</v>
      </c>
      <c r="AK3" s="37">
        <v>45</v>
      </c>
    </row>
    <row r="4" spans="1:60" ht="14.25" thickBot="1" x14ac:dyDescent="0.2">
      <c r="A4" s="8" t="s">
        <v>26</v>
      </c>
      <c r="B4" s="38" t="s">
        <v>140</v>
      </c>
      <c r="G4" s="10"/>
      <c r="AK4" s="6"/>
    </row>
    <row r="5" spans="1:60" ht="14.25" thickBot="1" x14ac:dyDescent="0.2">
      <c r="A5" s="8" t="s">
        <v>72</v>
      </c>
      <c r="B5" s="38" t="s">
        <v>99</v>
      </c>
      <c r="G5" s="10"/>
      <c r="AK5" s="6"/>
    </row>
    <row r="6" spans="1:60" ht="14.25" thickBot="1" x14ac:dyDescent="0.2">
      <c r="A6" s="9" t="s">
        <v>7</v>
      </c>
      <c r="B6" s="7" t="s">
        <v>101</v>
      </c>
    </row>
    <row r="7" spans="1:60" ht="14.25" thickBot="1" x14ac:dyDescent="0.2">
      <c r="E7" s="42"/>
    </row>
    <row r="8" spans="1:60" ht="14.25" thickBot="1" x14ac:dyDescent="0.2">
      <c r="A8" s="33" t="s">
        <v>38</v>
      </c>
      <c r="B8" s="34" t="s">
        <v>140</v>
      </c>
      <c r="D8" s="35" t="s">
        <v>39</v>
      </c>
      <c r="E8" s="36">
        <v>46139</v>
      </c>
      <c r="F8" s="46" t="s">
        <v>82</v>
      </c>
      <c r="G8" s="15" t="s">
        <v>108</v>
      </c>
      <c r="H8" s="16" t="s">
        <v>109</v>
      </c>
      <c r="I8" s="16" t="s">
        <v>110</v>
      </c>
      <c r="J8" s="15" t="s">
        <v>111</v>
      </c>
      <c r="K8" s="15" t="s">
        <v>112</v>
      </c>
      <c r="L8" s="15" t="s">
        <v>113</v>
      </c>
      <c r="M8" s="15" t="s">
        <v>114</v>
      </c>
      <c r="N8" s="15" t="s">
        <v>115</v>
      </c>
      <c r="O8" s="16" t="s">
        <v>116</v>
      </c>
      <c r="P8" s="16" t="s">
        <v>117</v>
      </c>
      <c r="Q8" s="15" t="s">
        <v>118</v>
      </c>
      <c r="R8" s="15" t="s">
        <v>119</v>
      </c>
      <c r="S8" s="15" t="s">
        <v>120</v>
      </c>
      <c r="T8" s="15" t="s">
        <v>121</v>
      </c>
      <c r="U8" s="15" t="s">
        <v>122</v>
      </c>
      <c r="V8" s="16" t="s">
        <v>123</v>
      </c>
      <c r="W8" s="16" t="s">
        <v>124</v>
      </c>
      <c r="X8" s="15" t="s">
        <v>125</v>
      </c>
      <c r="Y8" s="15" t="s">
        <v>126</v>
      </c>
      <c r="Z8" s="15" t="s">
        <v>127</v>
      </c>
      <c r="AA8" s="15" t="s">
        <v>128</v>
      </c>
      <c r="AB8" s="15" t="s">
        <v>129</v>
      </c>
      <c r="AC8" s="16" t="s">
        <v>130</v>
      </c>
      <c r="AD8" s="16" t="s">
        <v>131</v>
      </c>
      <c r="AE8" s="15" t="s">
        <v>132</v>
      </c>
      <c r="AF8" s="15" t="s">
        <v>133</v>
      </c>
      <c r="AG8" s="15" t="s">
        <v>134</v>
      </c>
      <c r="AH8" s="15" t="s">
        <v>135</v>
      </c>
      <c r="AI8" s="15" t="s">
        <v>136</v>
      </c>
      <c r="AJ8" s="16" t="s">
        <v>137</v>
      </c>
      <c r="AK8" s="16" t="s">
        <v>138</v>
      </c>
      <c r="AL8" s="48" t="s">
        <v>28</v>
      </c>
      <c r="AM8" s="49" t="s">
        <v>28</v>
      </c>
    </row>
    <row r="10" spans="1:60" x14ac:dyDescent="0.15">
      <c r="A10" s="3" t="s">
        <v>0</v>
      </c>
      <c r="B10" s="2">
        <v>191</v>
      </c>
      <c r="C10" s="2" t="s">
        <v>4</v>
      </c>
      <c r="D10" s="11" t="s">
        <v>6</v>
      </c>
      <c r="E10" s="20">
        <f>SUM(F10:AK10)</f>
        <v>307200</v>
      </c>
      <c r="F10" s="21"/>
      <c r="G10" s="20">
        <v>9600</v>
      </c>
      <c r="H10" s="21"/>
      <c r="I10" s="21"/>
      <c r="J10" s="20">
        <v>9600</v>
      </c>
      <c r="K10" s="20">
        <v>9600</v>
      </c>
      <c r="L10" s="20">
        <v>9600</v>
      </c>
      <c r="M10" s="20">
        <v>9600</v>
      </c>
      <c r="N10" s="20">
        <v>19200</v>
      </c>
      <c r="O10" s="21"/>
      <c r="P10" s="21"/>
      <c r="Q10" s="20">
        <v>19200</v>
      </c>
      <c r="R10" s="20">
        <v>9600</v>
      </c>
      <c r="S10" s="20">
        <v>19200</v>
      </c>
      <c r="T10" s="20">
        <v>9600</v>
      </c>
      <c r="U10" s="20">
        <v>19200</v>
      </c>
      <c r="V10" s="21"/>
      <c r="W10" s="21"/>
      <c r="X10" s="20">
        <v>9600</v>
      </c>
      <c r="Y10" s="20">
        <v>19200</v>
      </c>
      <c r="Z10" s="20">
        <v>19200</v>
      </c>
      <c r="AA10" s="20">
        <v>19200</v>
      </c>
      <c r="AB10" s="20">
        <v>19200</v>
      </c>
      <c r="AC10" s="21"/>
      <c r="AD10" s="21"/>
      <c r="AE10" s="20">
        <v>19200</v>
      </c>
      <c r="AF10" s="20">
        <v>9600</v>
      </c>
      <c r="AG10" s="20">
        <v>19200</v>
      </c>
      <c r="AH10" s="20">
        <v>19200</v>
      </c>
      <c r="AI10" s="20">
        <v>9600</v>
      </c>
      <c r="AJ10" s="21"/>
      <c r="AK10" s="21"/>
    </row>
    <row r="11" spans="1:60" x14ac:dyDescent="0.15">
      <c r="A11" s="4" t="s">
        <v>1</v>
      </c>
      <c r="B11" t="s">
        <v>105</v>
      </c>
      <c r="D11" s="12" t="s">
        <v>2</v>
      </c>
      <c r="E11" s="22">
        <f>SUM(F11:AK11)</f>
        <v>220800</v>
      </c>
      <c r="F11" s="22">
        <v>0</v>
      </c>
      <c r="G11" s="22">
        <v>9600</v>
      </c>
      <c r="H11" s="23"/>
      <c r="I11" s="23"/>
      <c r="J11" s="22">
        <v>9600</v>
      </c>
      <c r="K11" s="22">
        <v>9600</v>
      </c>
      <c r="L11" s="22">
        <v>9600</v>
      </c>
      <c r="M11" s="22">
        <v>9600</v>
      </c>
      <c r="N11" s="22">
        <v>19200</v>
      </c>
      <c r="O11" s="23"/>
      <c r="P11" s="23"/>
      <c r="Q11" s="22">
        <v>19200</v>
      </c>
      <c r="R11" s="22">
        <v>9600</v>
      </c>
      <c r="S11" s="22">
        <v>19200</v>
      </c>
      <c r="T11" s="22">
        <v>9600</v>
      </c>
      <c r="U11" s="22">
        <v>19200</v>
      </c>
      <c r="V11" s="23"/>
      <c r="W11" s="23"/>
      <c r="X11" s="22">
        <v>19200</v>
      </c>
      <c r="Y11" s="22">
        <v>19200</v>
      </c>
      <c r="Z11" s="22">
        <v>19200</v>
      </c>
      <c r="AA11" s="22">
        <v>19200</v>
      </c>
      <c r="AB11" s="23"/>
      <c r="AC11" s="23"/>
      <c r="AD11" s="23"/>
      <c r="AE11" s="23"/>
      <c r="AF11" s="23"/>
      <c r="AG11" s="23"/>
      <c r="AH11" s="23"/>
      <c r="AI11" s="23"/>
      <c r="AJ11" s="23"/>
      <c r="AK11" s="23"/>
      <c r="AL11" s="50"/>
      <c r="AM11" s="50"/>
    </row>
    <row r="12" spans="1:60" x14ac:dyDescent="0.15">
      <c r="A12" s="4" t="s">
        <v>73</v>
      </c>
      <c r="B12" t="s">
        <v>139</v>
      </c>
      <c r="D12" s="43" t="s">
        <v>74</v>
      </c>
      <c r="E12" s="44">
        <f>SUM(F12:AK12)</f>
        <v>115200</v>
      </c>
      <c r="F12" s="45"/>
      <c r="G12" s="45"/>
      <c r="H12" s="45"/>
      <c r="I12" s="45"/>
      <c r="J12" s="45"/>
      <c r="K12" s="45"/>
      <c r="L12" s="45"/>
      <c r="M12" s="45"/>
      <c r="N12" s="45"/>
      <c r="O12" s="45"/>
      <c r="P12" s="45"/>
      <c r="Q12" s="45"/>
      <c r="R12" s="45"/>
      <c r="S12" s="45"/>
      <c r="T12" s="45"/>
      <c r="U12" s="45"/>
      <c r="V12" s="45"/>
      <c r="W12" s="45"/>
      <c r="X12" s="45"/>
      <c r="Y12" s="45"/>
      <c r="Z12" s="44">
        <v>19200</v>
      </c>
      <c r="AA12" s="45"/>
      <c r="AB12" s="44">
        <v>19200</v>
      </c>
      <c r="AC12" s="45"/>
      <c r="AD12" s="45"/>
      <c r="AE12" s="44">
        <v>19200</v>
      </c>
      <c r="AF12" s="44">
        <v>9600</v>
      </c>
      <c r="AG12" s="44">
        <v>19200</v>
      </c>
      <c r="AH12" s="44">
        <v>19200</v>
      </c>
      <c r="AI12" s="44">
        <v>9600</v>
      </c>
      <c r="AJ12" s="45"/>
      <c r="AK12" s="45"/>
      <c r="AL12" s="23"/>
      <c r="AM12" s="23"/>
    </row>
    <row r="13" spans="1:60" x14ac:dyDescent="0.15">
      <c r="A13" s="4" t="s">
        <v>28</v>
      </c>
      <c r="D13" s="13" t="s">
        <v>3</v>
      </c>
      <c r="E13" s="24">
        <f>SUM(F13:AK13)</f>
        <v>220800</v>
      </c>
      <c r="F13" s="10"/>
      <c r="G13" s="24">
        <v>9600</v>
      </c>
      <c r="H13" s="10"/>
      <c r="I13" s="10"/>
      <c r="J13" s="24">
        <v>9600</v>
      </c>
      <c r="K13" s="24">
        <v>9600</v>
      </c>
      <c r="L13" s="24">
        <v>9600</v>
      </c>
      <c r="M13" s="24">
        <v>9600</v>
      </c>
      <c r="N13" s="24">
        <v>19200</v>
      </c>
      <c r="O13" s="10"/>
      <c r="P13" s="10"/>
      <c r="Q13" s="24">
        <v>19200</v>
      </c>
      <c r="R13" s="24">
        <v>9600</v>
      </c>
      <c r="S13" s="24">
        <v>19200</v>
      </c>
      <c r="T13" s="24">
        <v>9600</v>
      </c>
      <c r="U13" s="24">
        <v>19200</v>
      </c>
      <c r="V13" s="10"/>
      <c r="W13" s="10"/>
      <c r="X13" s="24">
        <v>19200</v>
      </c>
      <c r="Y13" s="24">
        <v>19200</v>
      </c>
      <c r="Z13" s="24">
        <v>19200</v>
      </c>
      <c r="AA13" s="24">
        <v>19200</v>
      </c>
      <c r="AB13" s="10"/>
      <c r="AC13" s="10"/>
      <c r="AD13" s="10"/>
      <c r="AE13" s="10"/>
      <c r="AF13" s="10"/>
      <c r="AG13" s="10"/>
      <c r="AH13" s="10"/>
      <c r="AI13" s="10"/>
      <c r="AJ13" s="10"/>
      <c r="AK13" s="10"/>
      <c r="AL13" s="45"/>
      <c r="AM13" s="45"/>
    </row>
    <row r="14" spans="1:60" x14ac:dyDescent="0.15">
      <c r="A14" s="4" t="s">
        <v>8</v>
      </c>
      <c r="B14">
        <v>0</v>
      </c>
      <c r="C14">
        <v>0</v>
      </c>
      <c r="D14" s="52" t="s">
        <v>85</v>
      </c>
      <c r="E14" s="53">
        <f>SUM(F14:AK14)</f>
        <v>220800</v>
      </c>
      <c r="F14" s="54"/>
      <c r="G14" s="53">
        <v>9600</v>
      </c>
      <c r="H14" s="54"/>
      <c r="I14" s="54"/>
      <c r="J14" s="53">
        <v>9600</v>
      </c>
      <c r="K14" s="53">
        <v>9600</v>
      </c>
      <c r="L14" s="53">
        <v>9600</v>
      </c>
      <c r="M14" s="53">
        <v>9600</v>
      </c>
      <c r="N14" s="53">
        <v>19200</v>
      </c>
      <c r="O14" s="54"/>
      <c r="P14" s="54"/>
      <c r="Q14" s="53">
        <v>19200</v>
      </c>
      <c r="R14" s="53">
        <v>9600</v>
      </c>
      <c r="S14" s="53">
        <v>19200</v>
      </c>
      <c r="T14" s="53">
        <v>9600</v>
      </c>
      <c r="U14" s="53">
        <v>19200</v>
      </c>
      <c r="V14" s="54"/>
      <c r="W14" s="54"/>
      <c r="X14" s="53">
        <v>19200</v>
      </c>
      <c r="Y14" s="53">
        <v>19200</v>
      </c>
      <c r="Z14" s="53">
        <v>19200</v>
      </c>
      <c r="AA14" s="53">
        <v>19200</v>
      </c>
      <c r="AB14" s="54"/>
      <c r="AC14" s="54"/>
      <c r="AD14" s="54"/>
      <c r="AE14" s="54"/>
      <c r="AF14" s="54"/>
      <c r="AG14" s="54"/>
      <c r="AH14" s="54"/>
      <c r="AI14" s="54"/>
      <c r="AJ14" s="54"/>
      <c r="AK14" s="54"/>
      <c r="AL14" s="10"/>
      <c r="AM14" s="10"/>
    </row>
    <row r="15" spans="1:60" x14ac:dyDescent="0.15">
      <c r="A15" s="51" t="s">
        <v>28</v>
      </c>
      <c r="B15" s="1"/>
      <c r="C15" s="1"/>
      <c r="D15" s="40" t="s">
        <v>42</v>
      </c>
      <c r="E15" s="41">
        <v>19200</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0"/>
      <c r="AM15" s="10"/>
    </row>
    <row r="16" spans="1:60" x14ac:dyDescent="0.15">
      <c r="AP16" s="18">
        <v>0</v>
      </c>
      <c r="AV16" s="18">
        <v>0</v>
      </c>
      <c r="BB16" s="18">
        <v>0</v>
      </c>
      <c r="BH16" s="18">
        <v>0</v>
      </c>
    </row>
    <row r="17" spans="1:91" x14ac:dyDescent="0.15">
      <c r="A17" s="27" t="s">
        <v>30</v>
      </c>
      <c r="B17" s="2">
        <v>9222</v>
      </c>
      <c r="C17" s="2" t="s">
        <v>29</v>
      </c>
      <c r="D17" s="11" t="s">
        <v>34</v>
      </c>
      <c r="E17" s="20">
        <f>SUM(F17:AK17)</f>
        <v>240000</v>
      </c>
      <c r="F17" s="21"/>
      <c r="G17" s="20">
        <v>0</v>
      </c>
      <c r="H17" s="21"/>
      <c r="I17" s="21"/>
      <c r="J17" s="20">
        <v>0</v>
      </c>
      <c r="K17" s="20">
        <v>0</v>
      </c>
      <c r="L17" s="20">
        <v>9600</v>
      </c>
      <c r="M17" s="20">
        <v>9600</v>
      </c>
      <c r="N17" s="20">
        <v>19200</v>
      </c>
      <c r="O17" s="21"/>
      <c r="P17" s="21"/>
      <c r="Q17" s="20">
        <v>9600</v>
      </c>
      <c r="R17" s="20">
        <v>9600</v>
      </c>
      <c r="S17" s="20">
        <v>9600</v>
      </c>
      <c r="T17" s="20">
        <v>9600</v>
      </c>
      <c r="U17" s="20">
        <v>19200</v>
      </c>
      <c r="V17" s="21"/>
      <c r="W17" s="21"/>
      <c r="X17" s="20">
        <v>9600</v>
      </c>
      <c r="Y17" s="20">
        <v>9600</v>
      </c>
      <c r="Z17" s="20">
        <v>9600</v>
      </c>
      <c r="AA17" s="20">
        <v>19200</v>
      </c>
      <c r="AB17" s="20">
        <v>19200</v>
      </c>
      <c r="AC17" s="21"/>
      <c r="AD17" s="21"/>
      <c r="AE17" s="20">
        <v>9600</v>
      </c>
      <c r="AF17" s="20">
        <v>9600</v>
      </c>
      <c r="AG17" s="20">
        <v>19200</v>
      </c>
      <c r="AH17" s="20">
        <v>19200</v>
      </c>
      <c r="AI17" s="20">
        <v>19200</v>
      </c>
      <c r="AJ17" s="21"/>
      <c r="AK17" s="21"/>
      <c r="AN17" s="18">
        <v>0</v>
      </c>
      <c r="AO17" s="18">
        <v>0</v>
      </c>
      <c r="AP17" s="18">
        <v>0</v>
      </c>
      <c r="AQ17" s="18">
        <v>0</v>
      </c>
      <c r="AT17" s="18">
        <v>0</v>
      </c>
      <c r="AU17" s="18">
        <v>0</v>
      </c>
      <c r="AV17" s="18">
        <v>0</v>
      </c>
      <c r="AW17" s="18">
        <v>0</v>
      </c>
      <c r="AZ17" s="18">
        <v>0</v>
      </c>
      <c r="BA17" s="18">
        <v>0</v>
      </c>
      <c r="BB17" s="18">
        <v>0</v>
      </c>
      <c r="BC17" s="18">
        <v>0</v>
      </c>
      <c r="BE17" s="18">
        <v>0</v>
      </c>
      <c r="BF17" s="18">
        <v>0</v>
      </c>
      <c r="BG17" s="18">
        <v>0</v>
      </c>
      <c r="BH17" s="18">
        <v>0</v>
      </c>
      <c r="BI17" s="18">
        <v>0</v>
      </c>
      <c r="BL17" s="18">
        <v>0</v>
      </c>
      <c r="BM17" s="18">
        <v>0</v>
      </c>
      <c r="BO17" s="18">
        <v>0</v>
      </c>
      <c r="BR17" s="18">
        <v>0</v>
      </c>
      <c r="BU17" s="18">
        <v>0</v>
      </c>
      <c r="CA17" s="18">
        <v>0</v>
      </c>
      <c r="CG17" s="18">
        <v>0</v>
      </c>
    </row>
    <row r="18" spans="1:91" x14ac:dyDescent="0.15">
      <c r="A18" s="28" t="s">
        <v>31</v>
      </c>
      <c r="B18" t="s">
        <v>106</v>
      </c>
      <c r="D18" s="29" t="s">
        <v>35</v>
      </c>
      <c r="E18" s="30">
        <f>SUM(F18:AK18)</f>
        <v>355200</v>
      </c>
      <c r="F18" s="31"/>
      <c r="G18" s="30">
        <v>9600</v>
      </c>
      <c r="H18" s="31"/>
      <c r="I18" s="31"/>
      <c r="J18" s="30">
        <v>9600</v>
      </c>
      <c r="K18" s="30">
        <v>9600</v>
      </c>
      <c r="L18" s="30">
        <v>9600</v>
      </c>
      <c r="M18" s="30">
        <v>9600</v>
      </c>
      <c r="N18" s="30">
        <v>19200</v>
      </c>
      <c r="O18" s="31"/>
      <c r="P18" s="31"/>
      <c r="Q18" s="30">
        <v>19200</v>
      </c>
      <c r="R18" s="30">
        <v>9600</v>
      </c>
      <c r="S18" s="30">
        <v>19200</v>
      </c>
      <c r="T18" s="30">
        <v>9600</v>
      </c>
      <c r="U18" s="30">
        <v>19200</v>
      </c>
      <c r="V18" s="31"/>
      <c r="W18" s="31"/>
      <c r="X18" s="30">
        <v>19200</v>
      </c>
      <c r="Y18" s="30">
        <v>38400</v>
      </c>
      <c r="Z18" s="30">
        <v>38400</v>
      </c>
      <c r="AA18" s="30">
        <v>19200</v>
      </c>
      <c r="AB18" s="30">
        <v>19200</v>
      </c>
      <c r="AC18" s="31"/>
      <c r="AD18" s="31"/>
      <c r="AE18" s="30">
        <v>19200</v>
      </c>
      <c r="AF18" s="30">
        <v>9600</v>
      </c>
      <c r="AG18" s="30">
        <v>19200</v>
      </c>
      <c r="AH18" s="30">
        <v>19200</v>
      </c>
      <c r="AI18" s="30">
        <v>9600</v>
      </c>
      <c r="AJ18" s="31"/>
      <c r="AK18" s="31"/>
      <c r="AL18" s="50"/>
      <c r="AM18" s="50"/>
      <c r="AN18" s="18">
        <v>0</v>
      </c>
      <c r="AO18" s="18">
        <v>0</v>
      </c>
      <c r="AP18" s="18">
        <v>0</v>
      </c>
      <c r="AQ18" s="18">
        <v>0</v>
      </c>
      <c r="AS18" s="18">
        <v>0</v>
      </c>
      <c r="AT18" s="18">
        <v>0</v>
      </c>
      <c r="AU18" s="18">
        <v>0</v>
      </c>
      <c r="AV18" s="18">
        <v>0</v>
      </c>
      <c r="AW18" s="18">
        <v>0</v>
      </c>
      <c r="AX18" s="18">
        <v>0</v>
      </c>
      <c r="AZ18" s="18">
        <v>0</v>
      </c>
      <c r="BA18" s="18">
        <v>0</v>
      </c>
      <c r="BB18" s="18">
        <v>0</v>
      </c>
      <c r="BC18" s="18">
        <v>0</v>
      </c>
      <c r="BE18" s="18">
        <v>0</v>
      </c>
      <c r="BF18" s="18">
        <v>0</v>
      </c>
      <c r="BH18" s="18">
        <v>0</v>
      </c>
      <c r="BI18" s="18">
        <v>0</v>
      </c>
      <c r="BJ18" s="18">
        <v>0</v>
      </c>
      <c r="BK18" s="18">
        <v>0</v>
      </c>
      <c r="BL18" s="18">
        <v>0</v>
      </c>
      <c r="BM18" s="18">
        <v>0</v>
      </c>
      <c r="BO18" s="18">
        <v>0</v>
      </c>
      <c r="BP18" s="18">
        <v>0</v>
      </c>
      <c r="BR18" s="18">
        <v>0</v>
      </c>
      <c r="BU18" s="18">
        <v>0</v>
      </c>
      <c r="BZ18" s="18">
        <v>0</v>
      </c>
      <c r="CA18" s="18">
        <v>0</v>
      </c>
      <c r="CE18" s="18">
        <v>0</v>
      </c>
      <c r="CG18" s="18">
        <v>0</v>
      </c>
      <c r="CJ18" s="18">
        <v>0</v>
      </c>
      <c r="CM18" s="18">
        <v>0</v>
      </c>
    </row>
    <row r="19" spans="1:91" x14ac:dyDescent="0.15">
      <c r="A19" s="28" t="s">
        <v>83</v>
      </c>
      <c r="B19" t="s">
        <v>141</v>
      </c>
      <c r="C19" s="47" t="s">
        <v>84</v>
      </c>
      <c r="D19" s="12" t="s">
        <v>36</v>
      </c>
      <c r="E19" s="22">
        <f>SUM(F19:AK19)</f>
        <v>201600</v>
      </c>
      <c r="F19" s="22">
        <v>0</v>
      </c>
      <c r="G19" s="22">
        <v>9600</v>
      </c>
      <c r="H19" s="23"/>
      <c r="I19" s="23"/>
      <c r="J19" s="22">
        <v>9600</v>
      </c>
      <c r="K19" s="22">
        <v>9600</v>
      </c>
      <c r="L19" s="22">
        <v>9600</v>
      </c>
      <c r="M19" s="22">
        <v>9600</v>
      </c>
      <c r="N19" s="22">
        <v>19200</v>
      </c>
      <c r="O19" s="23"/>
      <c r="P19" s="23"/>
      <c r="Q19" s="22">
        <v>19200</v>
      </c>
      <c r="R19" s="22">
        <v>9600</v>
      </c>
      <c r="S19" s="22">
        <v>19200</v>
      </c>
      <c r="T19" s="22">
        <v>9600</v>
      </c>
      <c r="U19" s="22">
        <v>19200</v>
      </c>
      <c r="V19" s="23"/>
      <c r="W19" s="23"/>
      <c r="X19" s="22">
        <v>19200</v>
      </c>
      <c r="Y19" s="22">
        <v>19200</v>
      </c>
      <c r="Z19" s="22">
        <v>19200</v>
      </c>
      <c r="AA19" s="23"/>
      <c r="AB19" s="23"/>
      <c r="AC19" s="23"/>
      <c r="AD19" s="23"/>
      <c r="AE19" s="23"/>
      <c r="AF19" s="23"/>
      <c r="AG19" s="23"/>
      <c r="AH19" s="23"/>
      <c r="AI19" s="23"/>
      <c r="AJ19" s="23"/>
      <c r="AK19" s="23"/>
      <c r="AL19" s="31"/>
      <c r="AM19" s="31"/>
    </row>
    <row r="20" spans="1:91" x14ac:dyDescent="0.15">
      <c r="A20" s="28" t="s">
        <v>93</v>
      </c>
      <c r="B20" t="s">
        <v>100</v>
      </c>
      <c r="C20" t="s">
        <v>107</v>
      </c>
      <c r="D20" s="13" t="s">
        <v>37</v>
      </c>
      <c r="E20" s="24">
        <f>SUM(F20:AK20)</f>
        <v>201600</v>
      </c>
      <c r="F20" s="10"/>
      <c r="G20" s="10"/>
      <c r="H20" s="10"/>
      <c r="I20" s="10"/>
      <c r="J20" s="24">
        <v>9600</v>
      </c>
      <c r="K20" s="24">
        <v>9600</v>
      </c>
      <c r="L20" s="24">
        <v>9600</v>
      </c>
      <c r="M20" s="24">
        <v>9600</v>
      </c>
      <c r="N20" s="24">
        <v>9600</v>
      </c>
      <c r="O20" s="10"/>
      <c r="P20" s="10"/>
      <c r="Q20" s="24">
        <v>19200</v>
      </c>
      <c r="R20" s="24">
        <v>19200</v>
      </c>
      <c r="S20" s="24">
        <v>9600</v>
      </c>
      <c r="T20" s="24">
        <v>19200</v>
      </c>
      <c r="U20" s="24">
        <v>9600</v>
      </c>
      <c r="V20" s="10"/>
      <c r="W20" s="10"/>
      <c r="X20" s="24">
        <v>19200</v>
      </c>
      <c r="Y20" s="24">
        <v>19200</v>
      </c>
      <c r="Z20" s="24">
        <v>19200</v>
      </c>
      <c r="AA20" s="24">
        <v>19200</v>
      </c>
      <c r="AB20" s="10"/>
      <c r="AC20" s="10"/>
      <c r="AD20" s="10"/>
      <c r="AE20" s="10"/>
      <c r="AF20" s="10"/>
      <c r="AG20" s="10"/>
      <c r="AH20" s="10"/>
      <c r="AI20" s="10"/>
      <c r="AJ20" s="10"/>
      <c r="AK20" s="10"/>
      <c r="AL20" s="23"/>
      <c r="AM20" s="23"/>
    </row>
    <row r="21" spans="1:91" x14ac:dyDescent="0.15">
      <c r="A21" s="28" t="s">
        <v>32</v>
      </c>
      <c r="B21" t="s">
        <v>139</v>
      </c>
      <c r="D21" s="39" t="s">
        <v>42</v>
      </c>
      <c r="E21" s="18">
        <v>0</v>
      </c>
      <c r="AL21" s="10"/>
      <c r="AM21" s="10"/>
      <c r="AP21" s="18">
        <v>0</v>
      </c>
      <c r="AU21" s="18">
        <v>0</v>
      </c>
      <c r="AZ21" s="18">
        <v>0</v>
      </c>
      <c r="BE21" s="18">
        <v>0</v>
      </c>
    </row>
    <row r="22" spans="1:91" x14ac:dyDescent="0.15">
      <c r="A22" s="32" t="s">
        <v>33</v>
      </c>
      <c r="B22" s="1">
        <v>4</v>
      </c>
      <c r="C22" s="1">
        <v>0</v>
      </c>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0"/>
      <c r="AM22" s="10"/>
      <c r="AP22" s="18"/>
      <c r="AU22" s="18"/>
      <c r="AZ22" s="18"/>
      <c r="BE22" s="18"/>
    </row>
    <row r="23" spans="1:91" x14ac:dyDescent="0.15">
      <c r="AL23" s="10"/>
      <c r="AM23" s="10"/>
      <c r="AP23" s="18">
        <v>0</v>
      </c>
      <c r="AU23" s="18"/>
      <c r="AV23" s="18">
        <v>0</v>
      </c>
      <c r="AZ23" s="18"/>
      <c r="BB23" s="18">
        <v>0</v>
      </c>
      <c r="BE23" s="18"/>
      <c r="BH23" s="18">
        <v>0</v>
      </c>
    </row>
    <row r="24" spans="1:91" x14ac:dyDescent="0.15">
      <c r="A24" s="27" t="s">
        <v>30</v>
      </c>
      <c r="B24" s="2">
        <v>9990</v>
      </c>
      <c r="C24" s="2" t="s">
        <v>29</v>
      </c>
      <c r="D24" s="11" t="s">
        <v>34</v>
      </c>
      <c r="E24" s="20">
        <f>SUM(F24:AK24)</f>
        <v>120000</v>
      </c>
      <c r="F24" s="21"/>
      <c r="G24" s="20">
        <v>0</v>
      </c>
      <c r="H24" s="21"/>
      <c r="I24" s="21"/>
      <c r="J24" s="20">
        <v>0</v>
      </c>
      <c r="K24" s="20">
        <v>0</v>
      </c>
      <c r="L24" s="20">
        <v>0</v>
      </c>
      <c r="M24" s="20">
        <v>0</v>
      </c>
      <c r="N24" s="20">
        <v>0</v>
      </c>
      <c r="O24" s="21"/>
      <c r="P24" s="21"/>
      <c r="Q24" s="20">
        <v>0</v>
      </c>
      <c r="R24" s="20">
        <v>0</v>
      </c>
      <c r="S24" s="20">
        <v>0</v>
      </c>
      <c r="T24" s="20">
        <v>0</v>
      </c>
      <c r="U24" s="20">
        <v>0</v>
      </c>
      <c r="V24" s="21"/>
      <c r="W24" s="21"/>
      <c r="X24" s="20">
        <v>0</v>
      </c>
      <c r="Y24" s="20">
        <v>0</v>
      </c>
      <c r="Z24" s="20">
        <v>0</v>
      </c>
      <c r="AA24" s="20">
        <v>0</v>
      </c>
      <c r="AB24" s="20">
        <v>0</v>
      </c>
      <c r="AC24" s="21"/>
      <c r="AD24" s="21"/>
      <c r="AE24" s="20">
        <v>0</v>
      </c>
      <c r="AF24" s="20">
        <v>60000</v>
      </c>
      <c r="AG24" s="20">
        <v>0</v>
      </c>
      <c r="AH24" s="20">
        <v>0</v>
      </c>
      <c r="AI24" s="20">
        <v>60000</v>
      </c>
      <c r="AJ24" s="21"/>
      <c r="AK24" s="21"/>
      <c r="AL24" s="10"/>
      <c r="AM24" s="10"/>
      <c r="AN24" s="18">
        <v>0</v>
      </c>
      <c r="AO24" s="18">
        <v>0</v>
      </c>
      <c r="AP24" s="18">
        <v>0</v>
      </c>
      <c r="AQ24" s="18">
        <v>0</v>
      </c>
      <c r="AT24" s="18">
        <v>0</v>
      </c>
      <c r="AU24" s="18">
        <v>0</v>
      </c>
      <c r="AV24" s="18">
        <v>0</v>
      </c>
      <c r="AW24" s="18">
        <v>0</v>
      </c>
      <c r="AZ24" s="18">
        <v>0</v>
      </c>
      <c r="BA24" s="18">
        <v>0</v>
      </c>
      <c r="BB24" s="18">
        <v>0</v>
      </c>
      <c r="BC24" s="18">
        <v>0</v>
      </c>
      <c r="BE24" s="18"/>
      <c r="BF24" s="18">
        <v>0</v>
      </c>
      <c r="BG24" s="18">
        <v>0</v>
      </c>
      <c r="BH24" s="18">
        <v>0</v>
      </c>
      <c r="BI24" s="18">
        <v>0</v>
      </c>
      <c r="BL24" s="18">
        <v>0</v>
      </c>
      <c r="BM24" s="18">
        <v>0</v>
      </c>
      <c r="BR24" s="18">
        <v>0</v>
      </c>
    </row>
    <row r="25" spans="1:91" x14ac:dyDescent="0.15">
      <c r="A25" s="28" t="s">
        <v>31</v>
      </c>
      <c r="B25" t="s">
        <v>142</v>
      </c>
      <c r="D25" s="29" t="s">
        <v>35</v>
      </c>
      <c r="E25" s="30">
        <f>SUM(F25:AK25)</f>
        <v>0</v>
      </c>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10"/>
      <c r="AM25" s="10"/>
      <c r="AP25" s="18"/>
      <c r="AU25" s="18"/>
      <c r="AZ25" s="18"/>
      <c r="BE25" s="18"/>
    </row>
    <row r="26" spans="1:91" x14ac:dyDescent="0.15">
      <c r="A26" s="28" t="s">
        <v>83</v>
      </c>
      <c r="B26" t="s">
        <v>143</v>
      </c>
      <c r="C26" s="47" t="s">
        <v>96</v>
      </c>
      <c r="D26" s="12" t="s">
        <v>36</v>
      </c>
      <c r="E26" s="22">
        <f>SUM(F26:AK26)</f>
        <v>60000</v>
      </c>
      <c r="F26" s="22">
        <v>0</v>
      </c>
      <c r="G26" s="23"/>
      <c r="H26" s="23"/>
      <c r="I26" s="23"/>
      <c r="J26" s="23"/>
      <c r="K26" s="23"/>
      <c r="L26" s="23"/>
      <c r="M26" s="23"/>
      <c r="N26" s="23"/>
      <c r="O26" s="23"/>
      <c r="P26" s="23"/>
      <c r="Q26" s="23"/>
      <c r="R26" s="23"/>
      <c r="S26" s="23"/>
      <c r="T26" s="23"/>
      <c r="U26" s="22">
        <v>60000</v>
      </c>
      <c r="V26" s="23"/>
      <c r="W26" s="23"/>
      <c r="X26" s="23"/>
      <c r="Y26" s="23"/>
      <c r="Z26" s="23"/>
      <c r="AA26" s="23"/>
      <c r="AB26" s="23"/>
      <c r="AC26" s="23"/>
      <c r="AD26" s="23"/>
      <c r="AE26" s="23"/>
      <c r="AF26" s="23"/>
      <c r="AG26" s="23"/>
      <c r="AH26" s="23"/>
      <c r="AI26" s="23"/>
      <c r="AJ26" s="23"/>
      <c r="AK26" s="23"/>
      <c r="AL26" s="10"/>
      <c r="AM26" s="10"/>
      <c r="AP26" s="18"/>
      <c r="AU26" s="18"/>
      <c r="AZ26" s="18"/>
      <c r="BE26" s="18"/>
    </row>
    <row r="27" spans="1:91" x14ac:dyDescent="0.15">
      <c r="A27" s="28" t="s">
        <v>93</v>
      </c>
      <c r="B27" t="s">
        <v>100</v>
      </c>
      <c r="C27" t="s">
        <v>144</v>
      </c>
      <c r="D27" s="13" t="s">
        <v>37</v>
      </c>
      <c r="E27" s="24">
        <f>SUM(F27:AK27)</f>
        <v>60000</v>
      </c>
      <c r="F27" s="10"/>
      <c r="G27" s="10"/>
      <c r="H27" s="10"/>
      <c r="I27" s="10"/>
      <c r="J27" s="10"/>
      <c r="K27" s="10"/>
      <c r="L27" s="10"/>
      <c r="M27" s="10"/>
      <c r="N27" s="10"/>
      <c r="O27" s="10"/>
      <c r="P27" s="10"/>
      <c r="Q27" s="10"/>
      <c r="R27" s="10"/>
      <c r="S27" s="10"/>
      <c r="T27" s="10"/>
      <c r="U27" s="24">
        <v>60000</v>
      </c>
      <c r="V27" s="10"/>
      <c r="W27" s="10"/>
      <c r="X27" s="10"/>
      <c r="Y27" s="10"/>
      <c r="Z27" s="10"/>
      <c r="AA27" s="10"/>
      <c r="AB27" s="10"/>
      <c r="AC27" s="10"/>
      <c r="AD27" s="10"/>
      <c r="AE27" s="10"/>
      <c r="AF27" s="10"/>
      <c r="AG27" s="10"/>
      <c r="AH27" s="10"/>
      <c r="AI27" s="10"/>
      <c r="AJ27" s="10"/>
      <c r="AK27" s="10"/>
      <c r="AN27" s="18">
        <v>0</v>
      </c>
      <c r="AO27" s="18">
        <v>0</v>
      </c>
      <c r="AP27" s="18">
        <v>0</v>
      </c>
      <c r="AQ27" s="18">
        <v>0</v>
      </c>
      <c r="AS27" s="18">
        <v>0</v>
      </c>
      <c r="AT27" s="18">
        <v>0</v>
      </c>
      <c r="AU27" s="18">
        <v>0</v>
      </c>
      <c r="AV27" s="18">
        <v>0</v>
      </c>
      <c r="AX27" s="18">
        <v>0</v>
      </c>
      <c r="AY27" s="18">
        <v>0</v>
      </c>
      <c r="AZ27" s="18">
        <v>0</v>
      </c>
      <c r="BA27" s="18">
        <v>0</v>
      </c>
      <c r="BC27" s="18">
        <v>0</v>
      </c>
      <c r="BD27" s="18">
        <v>0</v>
      </c>
      <c r="BE27" s="18">
        <v>0</v>
      </c>
      <c r="BF27" s="18">
        <v>0</v>
      </c>
      <c r="BH27" s="18">
        <v>0</v>
      </c>
      <c r="BI27" s="18">
        <v>0</v>
      </c>
      <c r="BK27" s="18">
        <v>0</v>
      </c>
      <c r="BM27" s="18">
        <v>0</v>
      </c>
      <c r="BP27" s="18">
        <v>0</v>
      </c>
      <c r="BU27" s="18">
        <v>0</v>
      </c>
      <c r="BZ27" s="18">
        <v>0</v>
      </c>
    </row>
    <row r="28" spans="1:91" x14ac:dyDescent="0.15">
      <c r="A28" s="28" t="s">
        <v>32</v>
      </c>
      <c r="B28" t="s">
        <v>139</v>
      </c>
      <c r="D28" s="39" t="s">
        <v>42</v>
      </c>
      <c r="E28" s="18">
        <v>261000</v>
      </c>
      <c r="AO28" s="18">
        <v>0</v>
      </c>
      <c r="AP28" s="18">
        <v>0</v>
      </c>
      <c r="AQ28" s="18">
        <v>0</v>
      </c>
      <c r="AU28" s="18">
        <v>0</v>
      </c>
      <c r="AV28" s="18">
        <v>0</v>
      </c>
      <c r="AW28" s="18">
        <v>0</v>
      </c>
      <c r="AZ28" s="18">
        <v>0</v>
      </c>
      <c r="BA28" s="18">
        <v>0</v>
      </c>
      <c r="BB28" s="18">
        <v>0</v>
      </c>
      <c r="BC28" s="18">
        <v>0</v>
      </c>
      <c r="BE28" s="18">
        <v>0</v>
      </c>
      <c r="BF28" s="18">
        <v>0</v>
      </c>
      <c r="BG28" s="18">
        <v>0</v>
      </c>
      <c r="BH28" s="18">
        <v>0</v>
      </c>
      <c r="BI28" s="18">
        <v>0</v>
      </c>
      <c r="BK28" s="18">
        <v>0</v>
      </c>
      <c r="BM28" s="18">
        <v>0</v>
      </c>
      <c r="BO28" s="18">
        <v>0</v>
      </c>
      <c r="BP28" s="18">
        <v>0</v>
      </c>
      <c r="BU28" s="18">
        <v>0</v>
      </c>
      <c r="BZ28" s="18">
        <v>0</v>
      </c>
      <c r="CA28" s="18">
        <v>0</v>
      </c>
      <c r="CG28" s="18">
        <v>0</v>
      </c>
    </row>
    <row r="29" spans="1:91" x14ac:dyDescent="0.15">
      <c r="A29" s="32" t="s">
        <v>33</v>
      </c>
      <c r="B29" s="1">
        <v>4</v>
      </c>
      <c r="C29" s="1">
        <v>0</v>
      </c>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N29" s="18">
        <v>0</v>
      </c>
      <c r="AO29" s="18">
        <v>0</v>
      </c>
      <c r="AP29" s="18">
        <v>0</v>
      </c>
      <c r="AQ29" s="18">
        <v>0</v>
      </c>
      <c r="AT29" s="18">
        <v>0</v>
      </c>
      <c r="AU29" s="18">
        <v>0</v>
      </c>
      <c r="AV29" s="18">
        <v>0</v>
      </c>
      <c r="AW29" s="18">
        <v>0</v>
      </c>
      <c r="AZ29" s="18">
        <v>0</v>
      </c>
      <c r="BA29" s="18">
        <v>0</v>
      </c>
      <c r="BB29" s="18">
        <v>0</v>
      </c>
      <c r="BC29" s="18">
        <v>0</v>
      </c>
      <c r="BE29" s="18">
        <v>0</v>
      </c>
      <c r="BF29" s="18">
        <v>0</v>
      </c>
      <c r="BG29" s="18">
        <v>0</v>
      </c>
      <c r="BH29" s="18">
        <v>0</v>
      </c>
      <c r="BI29" s="18">
        <v>0</v>
      </c>
      <c r="BL29" s="18">
        <v>0</v>
      </c>
      <c r="BM29" s="18">
        <v>0</v>
      </c>
      <c r="BO29" s="18">
        <v>0</v>
      </c>
      <c r="BR29" s="18">
        <v>0</v>
      </c>
      <c r="BU29" s="18">
        <v>0</v>
      </c>
      <c r="CA29" s="18">
        <v>0</v>
      </c>
      <c r="CG29" s="18">
        <v>0</v>
      </c>
    </row>
    <row r="30" spans="1:91" x14ac:dyDescent="0.15">
      <c r="AL30" s="50"/>
      <c r="AM30" s="50"/>
      <c r="AN30" s="18">
        <v>0</v>
      </c>
      <c r="AP30" s="18">
        <v>0</v>
      </c>
      <c r="AQ30" s="18">
        <v>0</v>
      </c>
      <c r="AS30" s="18">
        <v>0</v>
      </c>
      <c r="AT30" s="18">
        <v>0</v>
      </c>
      <c r="AU30" s="18">
        <v>0</v>
      </c>
      <c r="AV30" s="18">
        <v>0</v>
      </c>
      <c r="AW30" s="18">
        <v>0</v>
      </c>
      <c r="AX30" s="18">
        <v>0</v>
      </c>
      <c r="AZ30" s="18">
        <v>0</v>
      </c>
      <c r="BA30" s="18">
        <v>0</v>
      </c>
      <c r="BB30" s="18">
        <v>0</v>
      </c>
      <c r="BC30" s="18">
        <v>0</v>
      </c>
      <c r="BE30" s="18">
        <v>0</v>
      </c>
      <c r="BF30" s="18">
        <v>0</v>
      </c>
      <c r="BH30" s="18">
        <v>0</v>
      </c>
      <c r="BI30" s="18">
        <v>0</v>
      </c>
      <c r="BJ30" s="18">
        <v>0</v>
      </c>
      <c r="BK30" s="18">
        <v>0</v>
      </c>
      <c r="BL30" s="18">
        <v>0</v>
      </c>
      <c r="BM30" s="18">
        <v>0</v>
      </c>
      <c r="BO30" s="18">
        <v>0</v>
      </c>
      <c r="BP30" s="18">
        <v>0</v>
      </c>
      <c r="BR30" s="18">
        <v>0</v>
      </c>
      <c r="BU30" s="18">
        <v>0</v>
      </c>
      <c r="BZ30" s="18">
        <v>0</v>
      </c>
      <c r="CA30" s="18">
        <v>0</v>
      </c>
      <c r="CE30" s="18">
        <v>0</v>
      </c>
      <c r="CG30" s="18">
        <v>0</v>
      </c>
      <c r="CJ30" s="18">
        <v>0</v>
      </c>
      <c r="CM30" s="18">
        <v>0</v>
      </c>
    </row>
    <row r="31" spans="1:91" x14ac:dyDescent="0.15">
      <c r="A31" s="27" t="s">
        <v>30</v>
      </c>
      <c r="B31" s="2">
        <v>9990</v>
      </c>
      <c r="C31" s="2" t="s">
        <v>29</v>
      </c>
      <c r="D31" s="11" t="s">
        <v>34</v>
      </c>
      <c r="E31" s="20">
        <f>SUM(F31:AK31)</f>
        <v>72000</v>
      </c>
      <c r="F31" s="21"/>
      <c r="G31" s="20">
        <v>0</v>
      </c>
      <c r="H31" s="21"/>
      <c r="I31" s="21"/>
      <c r="J31" s="20">
        <v>0</v>
      </c>
      <c r="K31" s="20">
        <v>0</v>
      </c>
      <c r="L31" s="20">
        <v>0</v>
      </c>
      <c r="M31" s="20">
        <v>0</v>
      </c>
      <c r="N31" s="20">
        <v>0</v>
      </c>
      <c r="O31" s="21"/>
      <c r="P31" s="21"/>
      <c r="Q31" s="20">
        <v>0</v>
      </c>
      <c r="R31" s="20">
        <v>0</v>
      </c>
      <c r="S31" s="20">
        <v>0</v>
      </c>
      <c r="T31" s="20">
        <v>0</v>
      </c>
      <c r="U31" s="20">
        <v>0</v>
      </c>
      <c r="V31" s="21"/>
      <c r="W31" s="21"/>
      <c r="X31" s="20">
        <v>0</v>
      </c>
      <c r="Y31" s="20">
        <v>0</v>
      </c>
      <c r="Z31" s="20">
        <v>0</v>
      </c>
      <c r="AA31" s="20">
        <v>0</v>
      </c>
      <c r="AB31" s="20">
        <v>0</v>
      </c>
      <c r="AC31" s="21"/>
      <c r="AD31" s="21"/>
      <c r="AE31" s="20">
        <v>36000</v>
      </c>
      <c r="AF31" s="20">
        <v>0</v>
      </c>
      <c r="AG31" s="20">
        <v>0</v>
      </c>
      <c r="AH31" s="20">
        <v>36000</v>
      </c>
      <c r="AI31" s="20">
        <v>0</v>
      </c>
      <c r="AJ31" s="21"/>
      <c r="AK31" s="21"/>
      <c r="AL31" s="31"/>
      <c r="AM31" s="31"/>
      <c r="AN31" s="18">
        <v>0</v>
      </c>
      <c r="AO31" s="18">
        <v>0</v>
      </c>
      <c r="AP31" s="18">
        <v>0</v>
      </c>
      <c r="AQ31" s="18">
        <v>0</v>
      </c>
      <c r="AT31" s="18">
        <v>0</v>
      </c>
      <c r="AU31" s="18">
        <v>0</v>
      </c>
      <c r="AV31" s="18">
        <v>0</v>
      </c>
      <c r="AW31" s="18">
        <v>0</v>
      </c>
      <c r="AZ31" s="18">
        <v>0</v>
      </c>
      <c r="BA31" s="18">
        <v>0</v>
      </c>
      <c r="BB31" s="18">
        <v>0</v>
      </c>
      <c r="BC31" s="18">
        <v>0</v>
      </c>
      <c r="BE31" s="18">
        <v>0</v>
      </c>
      <c r="BF31" s="18">
        <v>0</v>
      </c>
      <c r="BG31" s="18">
        <v>0</v>
      </c>
      <c r="BH31" s="18">
        <v>0</v>
      </c>
      <c r="BI31" s="18">
        <v>0</v>
      </c>
      <c r="BL31" s="18">
        <v>0</v>
      </c>
      <c r="BM31" s="18">
        <v>0</v>
      </c>
      <c r="BR31" s="18">
        <v>0</v>
      </c>
    </row>
    <row r="32" spans="1:91" x14ac:dyDescent="0.15">
      <c r="A32" s="28" t="s">
        <v>31</v>
      </c>
      <c r="B32" t="s">
        <v>142</v>
      </c>
      <c r="D32" s="29" t="s">
        <v>35</v>
      </c>
      <c r="E32" s="30">
        <f>SUM(F32:AK32)</f>
        <v>0</v>
      </c>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23"/>
      <c r="AM32" s="23"/>
    </row>
    <row r="33" spans="1:91" x14ac:dyDescent="0.15">
      <c r="A33" s="28" t="s">
        <v>83</v>
      </c>
      <c r="B33" t="s">
        <v>145</v>
      </c>
      <c r="C33" s="47" t="s">
        <v>96</v>
      </c>
      <c r="D33" s="12" t="s">
        <v>36</v>
      </c>
      <c r="E33" s="22">
        <f>SUM(F33:AK33)</f>
        <v>252000</v>
      </c>
      <c r="F33" s="22">
        <v>0</v>
      </c>
      <c r="G33" s="22">
        <v>36000</v>
      </c>
      <c r="H33" s="23"/>
      <c r="I33" s="23"/>
      <c r="J33" s="22">
        <v>36000</v>
      </c>
      <c r="K33" s="23"/>
      <c r="L33" s="22">
        <v>36000</v>
      </c>
      <c r="M33" s="23"/>
      <c r="N33" s="22">
        <v>36000</v>
      </c>
      <c r="O33" s="23"/>
      <c r="P33" s="23"/>
      <c r="Q33" s="23"/>
      <c r="R33" s="22">
        <v>36000</v>
      </c>
      <c r="S33" s="23"/>
      <c r="T33" s="22">
        <v>36000</v>
      </c>
      <c r="U33" s="23"/>
      <c r="V33" s="23"/>
      <c r="W33" s="23"/>
      <c r="X33" s="22">
        <v>36000</v>
      </c>
      <c r="Y33" s="23"/>
      <c r="Z33" s="23"/>
      <c r="AA33" s="23"/>
      <c r="AB33" s="23"/>
      <c r="AC33" s="23"/>
      <c r="AD33" s="23"/>
      <c r="AE33" s="23"/>
      <c r="AF33" s="23"/>
      <c r="AG33" s="23"/>
      <c r="AH33" s="23"/>
      <c r="AI33" s="23"/>
      <c r="AJ33" s="23"/>
      <c r="AK33" s="23"/>
      <c r="AL33" s="10"/>
      <c r="AM33" s="10"/>
      <c r="AP33" s="18">
        <v>0</v>
      </c>
      <c r="AQ33" s="18">
        <v>0</v>
      </c>
      <c r="AU33" s="18">
        <v>0</v>
      </c>
      <c r="AV33" s="18">
        <v>0</v>
      </c>
      <c r="AZ33" s="18">
        <v>0</v>
      </c>
      <c r="BA33" s="18">
        <v>0</v>
      </c>
      <c r="BE33" s="18">
        <v>0</v>
      </c>
      <c r="BF33" s="18">
        <v>0</v>
      </c>
      <c r="BK33" s="18">
        <v>0</v>
      </c>
    </row>
    <row r="34" spans="1:91" x14ac:dyDescent="0.15">
      <c r="A34" s="28" t="s">
        <v>93</v>
      </c>
      <c r="B34" t="s">
        <v>100</v>
      </c>
      <c r="C34" t="s">
        <v>144</v>
      </c>
      <c r="D34" s="13" t="s">
        <v>37</v>
      </c>
      <c r="E34" s="24">
        <f>SUM(F34:AK34)</f>
        <v>252000</v>
      </c>
      <c r="F34" s="10"/>
      <c r="G34" s="24">
        <v>36000</v>
      </c>
      <c r="H34" s="10"/>
      <c r="I34" s="10"/>
      <c r="J34" s="24">
        <v>36000</v>
      </c>
      <c r="K34" s="10"/>
      <c r="L34" s="24">
        <v>36000</v>
      </c>
      <c r="M34" s="10"/>
      <c r="N34" s="24">
        <v>36000</v>
      </c>
      <c r="O34" s="10"/>
      <c r="P34" s="10"/>
      <c r="Q34" s="10"/>
      <c r="R34" s="24">
        <v>36000</v>
      </c>
      <c r="S34" s="10"/>
      <c r="T34" s="24">
        <v>36000</v>
      </c>
      <c r="U34" s="10"/>
      <c r="V34" s="10"/>
      <c r="W34" s="10"/>
      <c r="X34" s="24">
        <v>36000</v>
      </c>
      <c r="Y34" s="10"/>
      <c r="Z34" s="10"/>
      <c r="AA34" s="10"/>
      <c r="AB34" s="10"/>
      <c r="AC34" s="10"/>
      <c r="AD34" s="10"/>
      <c r="AE34" s="10"/>
      <c r="AF34" s="10"/>
      <c r="AG34" s="10"/>
      <c r="AH34" s="10"/>
      <c r="AI34" s="10"/>
      <c r="AJ34" s="10"/>
      <c r="AK34" s="10"/>
      <c r="AN34" s="18">
        <v>0</v>
      </c>
      <c r="AO34" s="18">
        <v>0</v>
      </c>
      <c r="AP34" s="18">
        <v>0</v>
      </c>
      <c r="AQ34" s="18">
        <v>0</v>
      </c>
      <c r="AS34" s="18">
        <v>0</v>
      </c>
      <c r="AT34" s="18">
        <v>0</v>
      </c>
      <c r="AU34" s="18">
        <v>0</v>
      </c>
      <c r="AV34" s="18">
        <v>0</v>
      </c>
      <c r="AW34" s="18">
        <v>0</v>
      </c>
      <c r="AX34" s="18">
        <v>0</v>
      </c>
      <c r="AY34" s="18">
        <v>0</v>
      </c>
      <c r="AZ34" s="18">
        <v>0</v>
      </c>
      <c r="BA34" s="18">
        <v>0</v>
      </c>
      <c r="BC34" s="18">
        <v>0</v>
      </c>
      <c r="BD34" s="18">
        <v>0</v>
      </c>
      <c r="BE34" s="18">
        <v>0</v>
      </c>
      <c r="BF34" s="18">
        <v>0</v>
      </c>
      <c r="BG34" s="18">
        <v>0</v>
      </c>
      <c r="BH34" s="18">
        <v>0</v>
      </c>
      <c r="BI34" s="18">
        <v>0</v>
      </c>
      <c r="BK34" s="18">
        <v>0</v>
      </c>
      <c r="BM34" s="18">
        <v>0</v>
      </c>
      <c r="BO34" s="18">
        <v>0</v>
      </c>
      <c r="BP34" s="18">
        <v>0</v>
      </c>
      <c r="BU34" s="18">
        <v>0</v>
      </c>
      <c r="BZ34" s="18">
        <v>0</v>
      </c>
    </row>
    <row r="35" spans="1:91" x14ac:dyDescent="0.15">
      <c r="A35" s="28" t="s">
        <v>32</v>
      </c>
      <c r="B35" t="s">
        <v>139</v>
      </c>
      <c r="D35" s="39" t="s">
        <v>42</v>
      </c>
      <c r="E35" s="18">
        <v>234600</v>
      </c>
      <c r="AO35" s="18">
        <v>0</v>
      </c>
      <c r="AP35" s="18">
        <v>0</v>
      </c>
      <c r="AQ35" s="18">
        <v>0</v>
      </c>
      <c r="AU35" s="18">
        <v>0</v>
      </c>
      <c r="AV35" s="18">
        <v>0</v>
      </c>
      <c r="AW35" s="18">
        <v>0</v>
      </c>
      <c r="AZ35" s="18">
        <v>0</v>
      </c>
      <c r="BA35" s="18">
        <v>0</v>
      </c>
      <c r="BB35" s="18">
        <v>0</v>
      </c>
      <c r="BC35" s="18">
        <v>0</v>
      </c>
      <c r="BE35" s="18">
        <v>0</v>
      </c>
      <c r="BF35" s="18">
        <v>0</v>
      </c>
      <c r="BG35" s="18">
        <v>0</v>
      </c>
      <c r="BH35" s="18">
        <v>0</v>
      </c>
      <c r="BI35" s="18">
        <v>0</v>
      </c>
      <c r="BK35" s="18">
        <v>0</v>
      </c>
      <c r="BM35" s="18">
        <v>0</v>
      </c>
      <c r="BO35" s="18">
        <v>0</v>
      </c>
      <c r="BP35" s="18">
        <v>0</v>
      </c>
      <c r="BU35" s="18">
        <v>0</v>
      </c>
      <c r="BZ35" s="18">
        <v>0</v>
      </c>
    </row>
    <row r="36" spans="1:91" x14ac:dyDescent="0.15">
      <c r="A36" s="32" t="s">
        <v>33</v>
      </c>
      <c r="B36" s="1">
        <v>4</v>
      </c>
      <c r="C36" s="1">
        <v>0</v>
      </c>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N36" s="18">
        <v>0</v>
      </c>
      <c r="AO36" s="18">
        <v>0</v>
      </c>
      <c r="AP36" s="18">
        <v>0</v>
      </c>
      <c r="AQ36" s="18">
        <v>0</v>
      </c>
      <c r="AT36" s="18">
        <v>0</v>
      </c>
      <c r="AU36" s="18">
        <v>0</v>
      </c>
      <c r="AV36" s="18">
        <v>0</v>
      </c>
      <c r="AW36" s="18">
        <v>0</v>
      </c>
      <c r="AZ36" s="18">
        <v>0</v>
      </c>
      <c r="BA36" s="18">
        <v>0</v>
      </c>
      <c r="BB36" s="18">
        <v>0</v>
      </c>
      <c r="BC36" s="18">
        <v>0</v>
      </c>
      <c r="BF36" s="18">
        <v>0</v>
      </c>
      <c r="BG36" s="18">
        <v>0</v>
      </c>
      <c r="BH36" s="18">
        <v>0</v>
      </c>
      <c r="BI36" s="18">
        <v>0</v>
      </c>
      <c r="BL36" s="18">
        <v>0</v>
      </c>
      <c r="BM36" s="18">
        <v>0</v>
      </c>
      <c r="BO36" s="18">
        <v>0</v>
      </c>
      <c r="BR36" s="18">
        <v>0</v>
      </c>
      <c r="BU36" s="18">
        <v>0</v>
      </c>
      <c r="CA36" s="18">
        <v>0</v>
      </c>
      <c r="CG36" s="18">
        <v>0</v>
      </c>
    </row>
    <row r="37" spans="1:91" x14ac:dyDescent="0.15">
      <c r="AL37" s="50"/>
      <c r="AM37" s="50"/>
      <c r="AN37" s="18">
        <v>0</v>
      </c>
      <c r="AP37" s="18">
        <v>0</v>
      </c>
      <c r="AQ37" s="18">
        <v>0</v>
      </c>
      <c r="AS37" s="18">
        <v>0</v>
      </c>
      <c r="AT37" s="18">
        <v>0</v>
      </c>
      <c r="AU37" s="18">
        <v>0</v>
      </c>
      <c r="AV37" s="18">
        <v>0</v>
      </c>
      <c r="AW37" s="18">
        <v>0</v>
      </c>
      <c r="AX37" s="18">
        <v>0</v>
      </c>
      <c r="AZ37" s="18">
        <v>0</v>
      </c>
      <c r="BA37" s="18">
        <v>0</v>
      </c>
      <c r="BB37" s="18">
        <v>0</v>
      </c>
      <c r="BC37" s="18">
        <v>0</v>
      </c>
      <c r="BE37" s="18">
        <v>0</v>
      </c>
      <c r="BF37" s="18">
        <v>0</v>
      </c>
      <c r="BH37" s="18">
        <v>0</v>
      </c>
      <c r="BI37" s="18">
        <v>0</v>
      </c>
      <c r="BJ37" s="18">
        <v>0</v>
      </c>
      <c r="BK37" s="18">
        <v>0</v>
      </c>
      <c r="BL37" s="18">
        <v>0</v>
      </c>
      <c r="BM37" s="18">
        <v>0</v>
      </c>
      <c r="BO37" s="18">
        <v>0</v>
      </c>
      <c r="BP37" s="18">
        <v>0</v>
      </c>
      <c r="BR37" s="18">
        <v>0</v>
      </c>
      <c r="BU37" s="18">
        <v>0</v>
      </c>
      <c r="BZ37" s="18">
        <v>0</v>
      </c>
      <c r="CA37" s="18">
        <v>0</v>
      </c>
      <c r="CE37" s="18">
        <v>0</v>
      </c>
      <c r="CG37" s="18">
        <v>0</v>
      </c>
      <c r="CM37" s="18">
        <v>0</v>
      </c>
    </row>
    <row r="38" spans="1:91" x14ac:dyDescent="0.15">
      <c r="A38" s="27" t="s">
        <v>30</v>
      </c>
      <c r="B38" s="2">
        <v>9990</v>
      </c>
      <c r="C38" s="2" t="s">
        <v>29</v>
      </c>
      <c r="D38" s="11" t="s">
        <v>34</v>
      </c>
      <c r="E38" s="20">
        <f>SUM(F38:AK38)</f>
        <v>160000</v>
      </c>
      <c r="F38" s="21"/>
      <c r="G38" s="20">
        <v>0</v>
      </c>
      <c r="H38" s="21"/>
      <c r="I38" s="21"/>
      <c r="J38" s="20">
        <v>0</v>
      </c>
      <c r="K38" s="20">
        <v>0</v>
      </c>
      <c r="L38" s="20">
        <v>0</v>
      </c>
      <c r="M38" s="20">
        <v>0</v>
      </c>
      <c r="N38" s="20">
        <v>0</v>
      </c>
      <c r="O38" s="21"/>
      <c r="P38" s="21"/>
      <c r="Q38" s="20">
        <v>0</v>
      </c>
      <c r="R38" s="20">
        <v>0</v>
      </c>
      <c r="S38" s="20">
        <v>0</v>
      </c>
      <c r="T38" s="20">
        <v>0</v>
      </c>
      <c r="U38" s="20">
        <v>0</v>
      </c>
      <c r="V38" s="21"/>
      <c r="W38" s="21"/>
      <c r="X38" s="20">
        <v>80000</v>
      </c>
      <c r="Y38" s="20">
        <v>0</v>
      </c>
      <c r="Z38" s="20">
        <v>0</v>
      </c>
      <c r="AA38" s="20">
        <v>0</v>
      </c>
      <c r="AB38" s="20">
        <v>0</v>
      </c>
      <c r="AC38" s="21"/>
      <c r="AD38" s="21"/>
      <c r="AE38" s="20">
        <v>0</v>
      </c>
      <c r="AF38" s="20">
        <v>80000</v>
      </c>
      <c r="AG38" s="20">
        <v>0</v>
      </c>
      <c r="AH38" s="20">
        <v>0</v>
      </c>
      <c r="AI38" s="20">
        <v>0</v>
      </c>
      <c r="AJ38" s="21"/>
      <c r="AK38" s="21"/>
      <c r="AL38" s="31"/>
      <c r="AM38" s="31"/>
      <c r="AO38" s="18">
        <v>0</v>
      </c>
      <c r="AP38" s="18">
        <v>0</v>
      </c>
      <c r="AQ38" s="18">
        <v>0</v>
      </c>
      <c r="AU38" s="18">
        <v>0</v>
      </c>
      <c r="AV38" s="18">
        <v>0</v>
      </c>
      <c r="AW38" s="18">
        <v>0</v>
      </c>
      <c r="AZ38" s="18">
        <v>0</v>
      </c>
      <c r="BA38" s="18">
        <v>0</v>
      </c>
      <c r="BB38" s="18">
        <v>0</v>
      </c>
      <c r="BC38" s="18">
        <v>0</v>
      </c>
      <c r="BE38" s="18">
        <v>0</v>
      </c>
      <c r="BG38" s="18">
        <v>0</v>
      </c>
      <c r="BH38" s="18">
        <v>0</v>
      </c>
      <c r="BI38" s="18">
        <v>0</v>
      </c>
      <c r="BM38" s="18">
        <v>0</v>
      </c>
    </row>
    <row r="39" spans="1:91" x14ac:dyDescent="0.15">
      <c r="A39" s="28" t="s">
        <v>31</v>
      </c>
      <c r="B39" t="s">
        <v>142</v>
      </c>
      <c r="D39" s="29" t="s">
        <v>35</v>
      </c>
      <c r="E39" s="30">
        <f>SUM(F39:AK39)</f>
        <v>0</v>
      </c>
      <c r="F39" s="31"/>
      <c r="G39" s="31"/>
      <c r="H39" s="31"/>
      <c r="I39" s="31"/>
      <c r="J39" s="31"/>
      <c r="K39" s="31"/>
      <c r="L39" s="31"/>
      <c r="M39" s="31"/>
      <c r="N39" s="31"/>
      <c r="O39" s="31"/>
      <c r="P39" s="31"/>
      <c r="Q39" s="31"/>
      <c r="R39" s="31"/>
      <c r="S39" s="31"/>
      <c r="T39" s="31"/>
      <c r="U39" s="31"/>
      <c r="V39" s="31"/>
      <c r="W39" s="31"/>
      <c r="X39" s="31"/>
      <c r="Y39" s="31"/>
      <c r="Z39" s="31"/>
      <c r="AA39" s="31"/>
      <c r="AB39" s="31"/>
      <c r="AC39" s="31"/>
      <c r="AD39" s="31"/>
      <c r="AE39" s="31"/>
      <c r="AF39" s="31"/>
      <c r="AG39" s="31"/>
      <c r="AH39" s="31"/>
      <c r="AI39" s="31"/>
      <c r="AJ39" s="31"/>
      <c r="AK39" s="31"/>
      <c r="AL39" s="23"/>
      <c r="AM39" s="23"/>
    </row>
    <row r="40" spans="1:91" x14ac:dyDescent="0.15">
      <c r="A40" s="28" t="s">
        <v>83</v>
      </c>
      <c r="B40" t="s">
        <v>146</v>
      </c>
      <c r="C40" s="47" t="s">
        <v>96</v>
      </c>
      <c r="D40" s="12" t="s">
        <v>36</v>
      </c>
      <c r="E40" s="22">
        <f>SUM(F40:AK40)</f>
        <v>0</v>
      </c>
      <c r="F40" s="22">
        <v>0</v>
      </c>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10"/>
      <c r="AM40" s="10"/>
      <c r="AP40" s="18">
        <v>0</v>
      </c>
      <c r="AV40" s="18">
        <v>0</v>
      </c>
      <c r="BB40" s="18">
        <v>0</v>
      </c>
      <c r="BH40" s="18">
        <v>0</v>
      </c>
    </row>
    <row r="41" spans="1:91" x14ac:dyDescent="0.15">
      <c r="A41" s="28" t="s">
        <v>93</v>
      </c>
      <c r="B41" t="s">
        <v>100</v>
      </c>
      <c r="C41" t="s">
        <v>144</v>
      </c>
      <c r="D41" s="13" t="s">
        <v>37</v>
      </c>
      <c r="E41" s="24">
        <f>SUM(F41:AK41)</f>
        <v>0</v>
      </c>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O41" s="18">
        <v>0</v>
      </c>
      <c r="AP41" s="18">
        <v>0</v>
      </c>
      <c r="AQ41" s="18">
        <v>0</v>
      </c>
      <c r="AU41" s="18">
        <v>0</v>
      </c>
      <c r="AV41" s="18">
        <v>0</v>
      </c>
      <c r="AZ41" s="18">
        <v>0</v>
      </c>
      <c r="BA41" s="18">
        <v>0</v>
      </c>
      <c r="BE41" s="18">
        <v>0</v>
      </c>
      <c r="BF41" s="18">
        <v>0</v>
      </c>
      <c r="BG41" s="18">
        <v>0</v>
      </c>
      <c r="BK41" s="18">
        <v>0</v>
      </c>
      <c r="BM41" s="18">
        <v>0</v>
      </c>
      <c r="BP41" s="18">
        <v>0</v>
      </c>
      <c r="BU41" s="18">
        <v>0</v>
      </c>
      <c r="BZ41" s="18">
        <v>0</v>
      </c>
    </row>
    <row r="42" spans="1:91" x14ac:dyDescent="0.15">
      <c r="A42" s="28" t="s">
        <v>32</v>
      </c>
      <c r="B42" t="s">
        <v>139</v>
      </c>
      <c r="D42" s="39" t="s">
        <v>42</v>
      </c>
      <c r="E42" s="18">
        <v>181000</v>
      </c>
      <c r="AL42" s="1"/>
      <c r="AM42" s="1"/>
      <c r="AP42" s="18">
        <v>0</v>
      </c>
      <c r="AQ42" s="18">
        <v>0</v>
      </c>
      <c r="AU42" s="18">
        <v>0</v>
      </c>
      <c r="AV42" s="18">
        <v>0</v>
      </c>
      <c r="AZ42" s="18">
        <v>0</v>
      </c>
      <c r="BA42" s="18">
        <v>0</v>
      </c>
      <c r="BE42" s="18">
        <v>0</v>
      </c>
      <c r="BF42" s="18">
        <v>0</v>
      </c>
      <c r="BK42" s="18">
        <v>0</v>
      </c>
      <c r="BP42" s="18">
        <v>0</v>
      </c>
      <c r="BU42" s="18">
        <v>0</v>
      </c>
      <c r="BZ42" s="18">
        <v>0</v>
      </c>
    </row>
    <row r="43" spans="1:91" x14ac:dyDescent="0.15">
      <c r="A43" s="32" t="s">
        <v>33</v>
      </c>
      <c r="B43" s="1">
        <v>4</v>
      </c>
      <c r="C43" s="1">
        <v>0</v>
      </c>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N43" s="18">
        <v>0</v>
      </c>
      <c r="AO43" s="18">
        <v>0</v>
      </c>
      <c r="AP43" s="18">
        <v>0</v>
      </c>
      <c r="AQ43" s="18">
        <v>0</v>
      </c>
      <c r="AT43" s="18">
        <v>0</v>
      </c>
      <c r="AU43" s="18">
        <v>0</v>
      </c>
      <c r="AV43" s="18">
        <v>0</v>
      </c>
      <c r="AW43" s="18">
        <v>0</v>
      </c>
      <c r="AZ43" s="18">
        <v>0</v>
      </c>
      <c r="BA43" s="18">
        <v>0</v>
      </c>
      <c r="BB43" s="18">
        <v>0</v>
      </c>
      <c r="BC43" s="18">
        <v>0</v>
      </c>
      <c r="BE43" s="18">
        <v>0</v>
      </c>
      <c r="BF43" s="18">
        <v>0</v>
      </c>
      <c r="BG43" s="18">
        <v>0</v>
      </c>
      <c r="BH43" s="18">
        <v>0</v>
      </c>
      <c r="BI43" s="18">
        <v>0</v>
      </c>
      <c r="BK43" s="18">
        <v>0</v>
      </c>
      <c r="BL43" s="18">
        <v>0</v>
      </c>
      <c r="BM43" s="18">
        <v>0</v>
      </c>
      <c r="BO43" s="18">
        <v>0</v>
      </c>
      <c r="BR43" s="18">
        <v>0</v>
      </c>
      <c r="BU43" s="18">
        <v>0</v>
      </c>
      <c r="CA43" s="18">
        <v>0</v>
      </c>
      <c r="CG43" s="18">
        <v>0</v>
      </c>
    </row>
    <row r="44" spans="1:91" x14ac:dyDescent="0.15">
      <c r="AN44" s="18">
        <v>0</v>
      </c>
      <c r="AP44" s="18">
        <v>0</v>
      </c>
      <c r="AQ44" s="18">
        <v>0</v>
      </c>
      <c r="AT44" s="18">
        <v>0</v>
      </c>
      <c r="AU44" s="18">
        <v>0</v>
      </c>
      <c r="AV44" s="18">
        <v>0</v>
      </c>
      <c r="AW44" s="18">
        <v>0</v>
      </c>
      <c r="AZ44" s="18">
        <v>0</v>
      </c>
      <c r="BA44" s="18">
        <v>0</v>
      </c>
      <c r="BC44" s="18">
        <v>0</v>
      </c>
      <c r="BE44" s="18">
        <v>0</v>
      </c>
      <c r="BF44" s="18">
        <v>0</v>
      </c>
      <c r="BI44" s="18">
        <v>0</v>
      </c>
      <c r="BK44" s="18">
        <v>0</v>
      </c>
      <c r="BL44" s="18">
        <v>0</v>
      </c>
      <c r="BO44" s="18">
        <v>0</v>
      </c>
      <c r="BP44" s="18">
        <v>0</v>
      </c>
      <c r="BR44" s="18">
        <v>0</v>
      </c>
      <c r="BU44" s="18">
        <v>0</v>
      </c>
      <c r="BZ44" s="18">
        <v>0</v>
      </c>
      <c r="CA44" s="18">
        <v>0</v>
      </c>
      <c r="CE44" s="18">
        <v>0</v>
      </c>
      <c r="CG44" s="18">
        <v>0</v>
      </c>
      <c r="CM44" s="18">
        <v>0</v>
      </c>
    </row>
    <row r="45" spans="1:91" x14ac:dyDescent="0.15">
      <c r="AP45" s="18">
        <v>0</v>
      </c>
      <c r="AV45" s="18">
        <v>0</v>
      </c>
      <c r="BB45" s="18">
        <v>0</v>
      </c>
      <c r="BH45" s="18">
        <v>0</v>
      </c>
    </row>
    <row r="48" spans="1:91" x14ac:dyDescent="0.15">
      <c r="AO48" s="18">
        <v>0</v>
      </c>
      <c r="AP48" s="18">
        <v>0</v>
      </c>
      <c r="AT48" s="18">
        <v>0</v>
      </c>
      <c r="AU48" s="18">
        <v>0</v>
      </c>
      <c r="AY48" s="18">
        <v>0</v>
      </c>
      <c r="AZ48" s="18">
        <v>0</v>
      </c>
      <c r="BA48" s="18">
        <v>0</v>
      </c>
      <c r="BD48" s="18">
        <v>0</v>
      </c>
      <c r="BE48" s="18">
        <v>0</v>
      </c>
      <c r="BG48" s="18">
        <v>0</v>
      </c>
      <c r="BJ48" s="18">
        <v>0</v>
      </c>
      <c r="BM48" s="18">
        <v>0</v>
      </c>
      <c r="BO48" s="18">
        <v>0</v>
      </c>
      <c r="BT48" s="18">
        <v>0</v>
      </c>
      <c r="BY48" s="18">
        <v>0</v>
      </c>
    </row>
    <row r="50" spans="40:85" x14ac:dyDescent="0.15">
      <c r="AO50" s="18">
        <v>0</v>
      </c>
      <c r="AP50" s="18">
        <v>0</v>
      </c>
      <c r="AQ50" s="18">
        <v>0</v>
      </c>
      <c r="AU50" s="18">
        <v>0</v>
      </c>
      <c r="AV50" s="18">
        <v>0</v>
      </c>
      <c r="AW50" s="18">
        <v>0</v>
      </c>
      <c r="BA50" s="18">
        <v>0</v>
      </c>
      <c r="BB50" s="18">
        <v>0</v>
      </c>
      <c r="BC50" s="18">
        <v>0</v>
      </c>
      <c r="BG50" s="18">
        <v>0</v>
      </c>
      <c r="BH50" s="18">
        <v>0</v>
      </c>
      <c r="BI50" s="18">
        <v>0</v>
      </c>
      <c r="BM50" s="18">
        <v>0</v>
      </c>
      <c r="BO50" s="18">
        <v>0</v>
      </c>
      <c r="BU50" s="18">
        <v>0</v>
      </c>
      <c r="CA50" s="18">
        <v>0</v>
      </c>
      <c r="CG50" s="18">
        <v>0</v>
      </c>
    </row>
    <row r="51" spans="40:85" x14ac:dyDescent="0.15">
      <c r="AN51" s="18">
        <v>0</v>
      </c>
      <c r="AP51" s="18">
        <v>0</v>
      </c>
      <c r="AQ51" s="18">
        <v>0</v>
      </c>
      <c r="AS51" s="18">
        <v>0</v>
      </c>
      <c r="AT51" s="18">
        <v>0</v>
      </c>
      <c r="AU51" s="18">
        <v>0</v>
      </c>
      <c r="AW51" s="18">
        <v>0</v>
      </c>
      <c r="AX51" s="18">
        <v>0</v>
      </c>
      <c r="AZ51" s="18">
        <v>0</v>
      </c>
      <c r="BC51" s="18">
        <v>0</v>
      </c>
      <c r="BE51" s="18">
        <v>0</v>
      </c>
      <c r="BF51" s="18">
        <v>0</v>
      </c>
      <c r="BH51" s="18">
        <v>0</v>
      </c>
      <c r="BI51" s="18">
        <v>0</v>
      </c>
      <c r="BJ51" s="18">
        <v>0</v>
      </c>
      <c r="BL51" s="18">
        <v>0</v>
      </c>
      <c r="BO51" s="18">
        <v>0</v>
      </c>
      <c r="BR51" s="18">
        <v>0</v>
      </c>
      <c r="BT51" s="18">
        <v>0</v>
      </c>
      <c r="BY51" s="18">
        <v>0</v>
      </c>
    </row>
    <row r="55" spans="40:85" x14ac:dyDescent="0.15">
      <c r="AO55" s="18">
        <v>0</v>
      </c>
      <c r="AT55" s="18">
        <v>0</v>
      </c>
      <c r="AY55" s="18">
        <v>0</v>
      </c>
      <c r="BD55" s="18">
        <v>0</v>
      </c>
    </row>
    <row r="57" spans="40:85" x14ac:dyDescent="0.15">
      <c r="AO57" s="18">
        <v>0</v>
      </c>
      <c r="AP57" s="18">
        <v>0</v>
      </c>
      <c r="AQ57" s="18">
        <v>0</v>
      </c>
      <c r="AU57" s="18">
        <v>0</v>
      </c>
      <c r="AV57" s="18">
        <v>0</v>
      </c>
      <c r="AW57" s="18">
        <v>0</v>
      </c>
      <c r="BA57" s="18">
        <v>0</v>
      </c>
      <c r="BB57" s="18">
        <v>0</v>
      </c>
      <c r="BC57" s="18">
        <v>0</v>
      </c>
      <c r="BG57" s="18">
        <v>0</v>
      </c>
      <c r="BH57" s="18">
        <v>0</v>
      </c>
      <c r="BI57" s="18">
        <v>0</v>
      </c>
      <c r="BM57" s="18">
        <v>0</v>
      </c>
      <c r="BO57" s="18">
        <v>0</v>
      </c>
      <c r="BU57" s="18">
        <v>0</v>
      </c>
      <c r="CA57" s="18">
        <v>0</v>
      </c>
      <c r="CG57" s="18">
        <v>0</v>
      </c>
    </row>
    <row r="58" spans="40:85" x14ac:dyDescent="0.15">
      <c r="AP58" s="18">
        <v>0</v>
      </c>
      <c r="AQ58" s="18">
        <v>0</v>
      </c>
      <c r="AU58" s="18">
        <v>0</v>
      </c>
      <c r="AW58" s="18">
        <v>0</v>
      </c>
      <c r="AZ58" s="18">
        <v>0</v>
      </c>
      <c r="BC58" s="18">
        <v>0</v>
      </c>
      <c r="BE58" s="18">
        <v>0</v>
      </c>
      <c r="BI58" s="18">
        <v>0</v>
      </c>
      <c r="BJ58" s="18">
        <v>0</v>
      </c>
      <c r="BO58" s="18">
        <v>0</v>
      </c>
    </row>
    <row r="62" spans="40:85" x14ac:dyDescent="0.15">
      <c r="AN62" s="18">
        <v>0</v>
      </c>
      <c r="AS62" s="18">
        <v>0</v>
      </c>
      <c r="AX62" s="18">
        <v>0</v>
      </c>
      <c r="BC62" s="18">
        <v>0</v>
      </c>
    </row>
    <row r="64" spans="40:85" x14ac:dyDescent="0.15">
      <c r="AO64" s="18">
        <v>0</v>
      </c>
      <c r="AQ64" s="18">
        <v>0</v>
      </c>
      <c r="AU64" s="18">
        <v>0</v>
      </c>
      <c r="AW64" s="18">
        <v>0</v>
      </c>
      <c r="BA64" s="18">
        <v>0</v>
      </c>
      <c r="BC64" s="18">
        <v>0</v>
      </c>
      <c r="BG64" s="18">
        <v>0</v>
      </c>
      <c r="BI64" s="18">
        <v>0</v>
      </c>
      <c r="BM64" s="18">
        <v>0</v>
      </c>
      <c r="BO64" s="18">
        <v>0</v>
      </c>
      <c r="BU64" s="18">
        <v>0</v>
      </c>
      <c r="CA64" s="18">
        <v>0</v>
      </c>
      <c r="CG64" s="18">
        <v>0</v>
      </c>
    </row>
    <row r="65" spans="41:86" x14ac:dyDescent="0.15">
      <c r="AO65" s="18">
        <v>0</v>
      </c>
      <c r="AQ65" s="18">
        <v>0</v>
      </c>
      <c r="AT65" s="18">
        <v>0</v>
      </c>
      <c r="AW65" s="18">
        <v>0</v>
      </c>
      <c r="AY65" s="18">
        <v>0</v>
      </c>
      <c r="BC65" s="18">
        <v>0</v>
      </c>
      <c r="BD65" s="18">
        <v>0</v>
      </c>
      <c r="BI65" s="18">
        <v>0</v>
      </c>
      <c r="BO65" s="18">
        <v>0</v>
      </c>
    </row>
    <row r="67" spans="41:86" x14ac:dyDescent="0.15">
      <c r="AO67" s="18">
        <v>0</v>
      </c>
      <c r="AT67" s="18">
        <v>0</v>
      </c>
      <c r="AY67" s="18">
        <v>0</v>
      </c>
      <c r="BD67" s="18">
        <v>0</v>
      </c>
      <c r="BI67" s="18">
        <v>0</v>
      </c>
      <c r="BN67" s="18">
        <v>0</v>
      </c>
      <c r="BS67" s="18">
        <v>0</v>
      </c>
      <c r="BX67" s="18">
        <v>0</v>
      </c>
    </row>
    <row r="71" spans="41:86" x14ac:dyDescent="0.15">
      <c r="AO71" s="18">
        <v>0</v>
      </c>
      <c r="AQ71" s="18">
        <v>0</v>
      </c>
      <c r="AU71" s="18">
        <v>0</v>
      </c>
      <c r="AW71" s="18">
        <v>0</v>
      </c>
      <c r="BA71" s="18">
        <v>0</v>
      </c>
      <c r="BC71" s="18">
        <v>0</v>
      </c>
      <c r="BG71" s="18">
        <v>0</v>
      </c>
      <c r="BI71" s="18">
        <v>0</v>
      </c>
      <c r="BM71" s="18">
        <v>0</v>
      </c>
      <c r="BO71" s="18">
        <v>0</v>
      </c>
      <c r="BU71" s="18">
        <v>0</v>
      </c>
      <c r="CA71" s="18">
        <v>0</v>
      </c>
      <c r="CG71" s="18">
        <v>0</v>
      </c>
    </row>
    <row r="75" spans="41:86" x14ac:dyDescent="0.15">
      <c r="AO75" s="18">
        <v>0</v>
      </c>
      <c r="AT75" s="18">
        <v>0</v>
      </c>
      <c r="AY75" s="18">
        <v>0</v>
      </c>
      <c r="BD75" s="18">
        <v>0</v>
      </c>
      <c r="BI75" s="18">
        <v>0</v>
      </c>
      <c r="BN75" s="18">
        <v>0</v>
      </c>
      <c r="BS75" s="18">
        <v>0</v>
      </c>
      <c r="BX75" s="18">
        <v>0</v>
      </c>
      <c r="CC75" s="18">
        <v>0</v>
      </c>
      <c r="CH75" s="18">
        <v>0</v>
      </c>
    </row>
    <row r="88" spans="41:76" x14ac:dyDescent="0.15">
      <c r="AO88" s="18">
        <v>0</v>
      </c>
      <c r="AT88" s="18">
        <v>0</v>
      </c>
      <c r="AY88" s="18">
        <v>0</v>
      </c>
      <c r="BD88" s="18">
        <v>0</v>
      </c>
      <c r="BI88" s="18">
        <v>0</v>
      </c>
      <c r="BN88" s="18">
        <v>0</v>
      </c>
      <c r="BS88" s="18">
        <v>0</v>
      </c>
      <c r="BX88" s="18">
        <v>0</v>
      </c>
    </row>
    <row r="93" spans="41:76" x14ac:dyDescent="0.15">
      <c r="AO93" s="18">
        <v>0</v>
      </c>
      <c r="AT93" s="18">
        <v>0</v>
      </c>
      <c r="AY93" s="18">
        <v>0</v>
      </c>
      <c r="BD93" s="18">
        <v>0</v>
      </c>
      <c r="BI93" s="18">
        <v>0</v>
      </c>
    </row>
    <row r="100" spans="41:65" x14ac:dyDescent="0.15">
      <c r="AO100" s="18">
        <v>0</v>
      </c>
      <c r="AU100" s="18">
        <v>0</v>
      </c>
      <c r="BA100" s="18">
        <v>0</v>
      </c>
      <c r="BG100" s="18">
        <v>0</v>
      </c>
      <c r="BM100" s="18">
        <v>0</v>
      </c>
    </row>
    <row r="106" spans="41:65" x14ac:dyDescent="0.15">
      <c r="AP106" s="18">
        <v>0</v>
      </c>
      <c r="AV106" s="18">
        <v>0</v>
      </c>
      <c r="BB106" s="18">
        <v>0</v>
      </c>
      <c r="BH106" s="18">
        <v>0</v>
      </c>
    </row>
    <row r="137" spans="43:67" x14ac:dyDescent="0.15">
      <c r="AQ137" s="18">
        <v>0</v>
      </c>
      <c r="AW137" s="18">
        <v>0</v>
      </c>
      <c r="BC137" s="18">
        <v>0</v>
      </c>
      <c r="BI137" s="18">
        <v>0</v>
      </c>
      <c r="BO137" s="18">
        <v>0</v>
      </c>
    </row>
    <row r="143" spans="43:67" x14ac:dyDescent="0.15">
      <c r="AQ143" s="18">
        <v>0</v>
      </c>
      <c r="AW143" s="18">
        <v>0</v>
      </c>
      <c r="BC143" s="18">
        <v>0</v>
      </c>
      <c r="BI143" s="18">
        <v>0</v>
      </c>
      <c r="BO143" s="18">
        <v>0</v>
      </c>
    </row>
    <row r="150" spans="41:61" x14ac:dyDescent="0.15">
      <c r="AO150" s="18">
        <v>0</v>
      </c>
      <c r="AT150" s="18">
        <v>0</v>
      </c>
      <c r="AY150" s="18">
        <v>0</v>
      </c>
      <c r="BD150" s="18">
        <v>0</v>
      </c>
      <c r="BI150" s="18">
        <v>0</v>
      </c>
    </row>
  </sheetData>
  <phoneticPr fontId="1"/>
  <pageMargins left="0.7" right="0.7" top="0.75" bottom="0.75" header="0.3" footer="0.3"/>
  <pageSetup paperSize="9" orientation="portrait" verticalDpi="1200" r:id="rId1"/>
  <drawing r:id="rId2"/>
  <legacyDrawing r:id="rId3"/>
  <controls>
    <mc:AlternateContent xmlns:mc="http://schemas.openxmlformats.org/markup-compatibility/2006">
      <mc:Choice Requires="x14">
        <control shapeId="1028" r:id="rId4" name="CommandButton2">
          <controlPr defaultSize="0" autoLine="0" r:id="rId5">
            <anchor moveWithCells="1">
              <from>
                <xdr:col>4</xdr:col>
                <xdr:colOff>85725</xdr:colOff>
                <xdr:row>2</xdr:row>
                <xdr:rowOff>0</xdr:rowOff>
              </from>
              <to>
                <xdr:col>4</xdr:col>
                <xdr:colOff>828675</xdr:colOff>
                <xdr:row>4</xdr:row>
                <xdr:rowOff>114300</xdr:rowOff>
              </to>
            </anchor>
          </controlPr>
        </control>
      </mc:Choice>
      <mc:Fallback>
        <control shapeId="1028" r:id="rId4" name="CommandButton2"/>
      </mc:Fallback>
    </mc:AlternateContent>
    <mc:AlternateContent xmlns:mc="http://schemas.openxmlformats.org/markup-compatibility/2006">
      <mc:Choice Requires="x14">
        <control shapeId="1027" r:id="rId6" name="CommandButton1">
          <controlPr defaultSize="0" autoLine="0" r:id="rId7">
            <anchor moveWithCells="1">
              <from>
                <xdr:col>3</xdr:col>
                <xdr:colOff>9525</xdr:colOff>
                <xdr:row>2</xdr:row>
                <xdr:rowOff>9525</xdr:rowOff>
              </from>
              <to>
                <xdr:col>3</xdr:col>
                <xdr:colOff>752475</xdr:colOff>
                <xdr:row>4</xdr:row>
                <xdr:rowOff>114300</xdr:rowOff>
              </to>
            </anchor>
          </controlPr>
        </control>
      </mc:Choice>
      <mc:Fallback>
        <control shapeId="1027"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47"/>
  <sheetViews>
    <sheetView topLeftCell="A16" workbookViewId="0">
      <selection activeCell="L22" sqref="L22"/>
    </sheetView>
  </sheetViews>
  <sheetFormatPr defaultRowHeight="13.5" x14ac:dyDescent="0.15"/>
  <sheetData>
    <row r="2" spans="1:2" x14ac:dyDescent="0.15">
      <c r="A2" t="s">
        <v>40</v>
      </c>
    </row>
    <row r="14" spans="1:2" x14ac:dyDescent="0.15">
      <c r="B14" t="s">
        <v>9</v>
      </c>
    </row>
    <row r="15" spans="1:2" x14ac:dyDescent="0.15">
      <c r="B15" t="s">
        <v>75</v>
      </c>
    </row>
    <row r="16" spans="1:2" x14ac:dyDescent="0.15">
      <c r="B16" t="s">
        <v>41</v>
      </c>
    </row>
    <row r="17" spans="1:2" x14ac:dyDescent="0.15">
      <c r="B17" t="s">
        <v>76</v>
      </c>
    </row>
    <row r="18" spans="1:2" x14ac:dyDescent="0.15">
      <c r="B18" t="s">
        <v>77</v>
      </c>
    </row>
    <row r="20" spans="1:2" x14ac:dyDescent="0.15">
      <c r="A20" t="s">
        <v>11</v>
      </c>
    </row>
    <row r="26" spans="1:2" x14ac:dyDescent="0.15">
      <c r="B26" t="s">
        <v>12</v>
      </c>
    </row>
    <row r="29" spans="1:2" x14ac:dyDescent="0.15">
      <c r="A29" t="s">
        <v>10</v>
      </c>
    </row>
    <row r="36" spans="1:2" x14ac:dyDescent="0.15">
      <c r="B36" t="s">
        <v>13</v>
      </c>
    </row>
    <row r="40" spans="1:2" x14ac:dyDescent="0.15">
      <c r="A40" s="17" t="s">
        <v>14</v>
      </c>
    </row>
    <row r="41" spans="1:2" x14ac:dyDescent="0.15">
      <c r="A41" s="17" t="s">
        <v>17</v>
      </c>
      <c r="B41" s="17" t="s">
        <v>20</v>
      </c>
    </row>
    <row r="42" spans="1:2" x14ac:dyDescent="0.15">
      <c r="A42" s="17" t="s">
        <v>18</v>
      </c>
      <c r="B42" s="17" t="s">
        <v>19</v>
      </c>
    </row>
    <row r="43" spans="1:2" x14ac:dyDescent="0.15">
      <c r="A43" s="17" t="s">
        <v>16</v>
      </c>
      <c r="B43" s="17" t="s">
        <v>15</v>
      </c>
    </row>
    <row r="44" spans="1:2" x14ac:dyDescent="0.15">
      <c r="A44" s="17" t="s">
        <v>21</v>
      </c>
      <c r="B44" s="17" t="s">
        <v>22</v>
      </c>
    </row>
    <row r="45" spans="1:2" x14ac:dyDescent="0.15">
      <c r="A45" s="17"/>
      <c r="B45" s="17" t="s">
        <v>23</v>
      </c>
    </row>
    <row r="46" spans="1:2" x14ac:dyDescent="0.15">
      <c r="A46" s="17"/>
      <c r="B46" s="17" t="s">
        <v>24</v>
      </c>
    </row>
    <row r="47" spans="1:2" x14ac:dyDescent="0.15">
      <c r="A47" s="17"/>
      <c r="B47" s="17" t="s">
        <v>25</v>
      </c>
    </row>
  </sheetData>
  <phoneticPr fontId="1"/>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17897-ACA6-4360-B658-FDA2EE48D141}">
  <sheetPr codeName="Sheet3"/>
  <dimension ref="A2:H28"/>
  <sheetViews>
    <sheetView workbookViewId="0">
      <selection activeCell="G18" sqref="G18"/>
    </sheetView>
  </sheetViews>
  <sheetFormatPr defaultRowHeight="13.5" x14ac:dyDescent="0.15"/>
  <cols>
    <col min="1" max="1" width="17.25" style="42" customWidth="1"/>
    <col min="2" max="2" width="9" style="19"/>
    <col min="3" max="3" width="89" style="19" customWidth="1"/>
    <col min="4" max="8" width="9" style="19"/>
  </cols>
  <sheetData>
    <row r="2" spans="1:3" x14ac:dyDescent="0.15">
      <c r="A2" s="42">
        <v>43972</v>
      </c>
      <c r="B2" s="19" t="s">
        <v>43</v>
      </c>
      <c r="C2" s="19" t="s">
        <v>44</v>
      </c>
    </row>
    <row r="3" spans="1:3" x14ac:dyDescent="0.15">
      <c r="A3" s="42">
        <v>43984</v>
      </c>
      <c r="B3" s="19" t="s">
        <v>45</v>
      </c>
      <c r="C3" s="19" t="s">
        <v>46</v>
      </c>
    </row>
    <row r="4" spans="1:3" x14ac:dyDescent="0.15">
      <c r="A4" s="42">
        <v>43990</v>
      </c>
      <c r="B4" s="19" t="s">
        <v>47</v>
      </c>
      <c r="C4" s="19" t="s">
        <v>48</v>
      </c>
    </row>
    <row r="5" spans="1:3" x14ac:dyDescent="0.15">
      <c r="A5" s="42">
        <v>44081</v>
      </c>
      <c r="B5" s="19" t="s">
        <v>49</v>
      </c>
      <c r="C5" s="19" t="s">
        <v>50</v>
      </c>
    </row>
    <row r="6" spans="1:3" x14ac:dyDescent="0.15">
      <c r="A6" s="42">
        <v>44567</v>
      </c>
      <c r="B6" s="19" t="s">
        <v>51</v>
      </c>
      <c r="C6" s="19" t="s">
        <v>52</v>
      </c>
    </row>
    <row r="7" spans="1:3" x14ac:dyDescent="0.15">
      <c r="A7" s="42">
        <v>44588</v>
      </c>
      <c r="B7" s="19" t="s">
        <v>59</v>
      </c>
      <c r="C7" s="19" t="s">
        <v>53</v>
      </c>
    </row>
    <row r="8" spans="1:3" x14ac:dyDescent="0.15">
      <c r="C8" s="19" t="s">
        <v>54</v>
      </c>
    </row>
    <row r="9" spans="1:3" x14ac:dyDescent="0.15">
      <c r="A9" s="42">
        <v>44615</v>
      </c>
      <c r="B9" s="19" t="s">
        <v>55</v>
      </c>
      <c r="C9" s="19" t="s">
        <v>56</v>
      </c>
    </row>
    <row r="10" spans="1:3" x14ac:dyDescent="0.15">
      <c r="C10" s="19" t="s">
        <v>57</v>
      </c>
    </row>
    <row r="11" spans="1:3" x14ac:dyDescent="0.15">
      <c r="A11" s="42">
        <v>44714</v>
      </c>
      <c r="B11" s="19" t="s">
        <v>58</v>
      </c>
      <c r="C11" s="19" t="s">
        <v>60</v>
      </c>
    </row>
    <row r="12" spans="1:3" x14ac:dyDescent="0.15">
      <c r="A12" s="42">
        <v>44719</v>
      </c>
      <c r="B12" s="19" t="s">
        <v>61</v>
      </c>
      <c r="C12" s="19" t="s">
        <v>62</v>
      </c>
    </row>
    <row r="13" spans="1:3" x14ac:dyDescent="0.15">
      <c r="A13" s="42">
        <v>44742</v>
      </c>
      <c r="B13" s="19" t="s">
        <v>63</v>
      </c>
      <c r="C13" s="19" t="s">
        <v>64</v>
      </c>
    </row>
    <row r="14" spans="1:3" x14ac:dyDescent="0.15">
      <c r="C14" s="19" t="s">
        <v>65</v>
      </c>
    </row>
    <row r="15" spans="1:3" x14ac:dyDescent="0.15">
      <c r="A15" s="42">
        <v>44778</v>
      </c>
      <c r="B15" s="19" t="s">
        <v>66</v>
      </c>
      <c r="C15" s="19" t="s">
        <v>67</v>
      </c>
    </row>
    <row r="16" spans="1:3" x14ac:dyDescent="0.15">
      <c r="C16" s="19" t="s">
        <v>68</v>
      </c>
    </row>
    <row r="17" spans="1:3" x14ac:dyDescent="0.15">
      <c r="C17" s="19" t="s">
        <v>69</v>
      </c>
    </row>
    <row r="18" spans="1:3" x14ac:dyDescent="0.15">
      <c r="A18" s="42">
        <v>44797</v>
      </c>
      <c r="B18" s="19" t="s">
        <v>70</v>
      </c>
      <c r="C18" s="19" t="s">
        <v>71</v>
      </c>
    </row>
    <row r="19" spans="1:3" x14ac:dyDescent="0.15">
      <c r="A19" s="42">
        <v>44824</v>
      </c>
      <c r="B19" s="19" t="s">
        <v>78</v>
      </c>
      <c r="C19" s="19" t="s">
        <v>79</v>
      </c>
    </row>
    <row r="20" spans="1:3" x14ac:dyDescent="0.15">
      <c r="C20" s="19" t="s">
        <v>80</v>
      </c>
    </row>
    <row r="21" spans="1:3" x14ac:dyDescent="0.15">
      <c r="C21" s="19" t="s">
        <v>81</v>
      </c>
    </row>
    <row r="22" spans="1:3" x14ac:dyDescent="0.15">
      <c r="A22" s="42">
        <v>44862</v>
      </c>
      <c r="B22" s="19" t="s">
        <v>86</v>
      </c>
      <c r="C22" s="19" t="s">
        <v>87</v>
      </c>
    </row>
    <row r="23" spans="1:3" x14ac:dyDescent="0.15">
      <c r="C23" s="19" t="s">
        <v>88</v>
      </c>
    </row>
    <row r="24" spans="1:3" x14ac:dyDescent="0.15">
      <c r="A24" s="42">
        <v>45057</v>
      </c>
      <c r="B24" s="19" t="s">
        <v>89</v>
      </c>
      <c r="C24" s="19" t="s">
        <v>90</v>
      </c>
    </row>
    <row r="25" spans="1:3" x14ac:dyDescent="0.15">
      <c r="A25" s="42">
        <v>45061</v>
      </c>
      <c r="B25" s="19" t="s">
        <v>92</v>
      </c>
      <c r="C25" s="19" t="s">
        <v>91</v>
      </c>
    </row>
    <row r="26" spans="1:3" x14ac:dyDescent="0.15">
      <c r="A26" s="42">
        <v>45246</v>
      </c>
      <c r="B26" s="19" t="s">
        <v>94</v>
      </c>
      <c r="C26" s="19" t="s">
        <v>95</v>
      </c>
    </row>
    <row r="27" spans="1:3" x14ac:dyDescent="0.15">
      <c r="A27" s="42">
        <v>45247</v>
      </c>
      <c r="B27" s="19" t="s">
        <v>97</v>
      </c>
      <c r="C27" s="19" t="s">
        <v>98</v>
      </c>
    </row>
    <row r="28" spans="1:3" x14ac:dyDescent="0.15">
      <c r="A28" s="42">
        <v>45372</v>
      </c>
      <c r="B28" s="19" t="s">
        <v>103</v>
      </c>
      <c r="C28" s="19" t="s">
        <v>104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C4AACC15492D847B77C1F1A50E29C0A" ma:contentTypeVersion="7" ma:contentTypeDescription="新しいドキュメントを作成します。" ma:contentTypeScope="" ma:versionID="212280a20d33668f7aa551a296c4abf2">
  <xsd:schema xmlns:xsd="http://www.w3.org/2001/XMLSchema" xmlns:xs="http://www.w3.org/2001/XMLSchema" xmlns:p="http://schemas.microsoft.com/office/2006/metadata/properties" xmlns:ns3="3e10f2ea-c9a8-4fbd-bb51-80b13bce3031" targetNamespace="http://schemas.microsoft.com/office/2006/metadata/properties" ma:root="true" ma:fieldsID="2fafce6a93f652bead7511a77bedc64b" ns3:_="">
    <xsd:import namespace="3e10f2ea-c9a8-4fbd-bb51-80b13bce3031"/>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10f2ea-c9a8-4fbd-bb51-80b13bce303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71A147A-8557-450D-9839-469B5AD73C7D}">
  <ds:schemaRefs>
    <ds:schemaRef ds:uri="http://www.w3.org/XML/1998/namespac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3e10f2ea-c9a8-4fbd-bb51-80b13bce3031"/>
    <ds:schemaRef ds:uri="http://schemas.microsoft.com/office/2006/metadata/properties"/>
    <ds:schemaRef ds:uri="http://purl.org/dc/dcmitype/"/>
    <ds:schemaRef ds:uri="http://purl.org/dc/terms/"/>
  </ds:schemaRefs>
</ds:datastoreItem>
</file>

<file path=customXml/itemProps2.xml><?xml version="1.0" encoding="utf-8"?>
<ds:datastoreItem xmlns:ds="http://schemas.openxmlformats.org/officeDocument/2006/customXml" ds:itemID="{00AA9B97-3E26-47E8-AFC3-818D2B4A2A7C}">
  <ds:schemaRefs>
    <ds:schemaRef ds:uri="http://schemas.microsoft.com/sharepoint/v3/contenttype/forms"/>
  </ds:schemaRefs>
</ds:datastoreItem>
</file>

<file path=customXml/itemProps3.xml><?xml version="1.0" encoding="utf-8"?>
<ds:datastoreItem xmlns:ds="http://schemas.openxmlformats.org/officeDocument/2006/customXml" ds:itemID="{8F7C3271-F74E-46AD-8F77-E97DA2FA76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e10f2ea-c9a8-4fbd-bb51-80b13bce30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DATA</vt:lpstr>
      <vt:lpstr>使い方</vt:lpstr>
      <vt:lpstr>更新履歴</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furuta</dc:creator>
  <cp:lastModifiedBy>橋爪 良典 (Yoshinori Hashizume)</cp:lastModifiedBy>
  <dcterms:created xsi:type="dcterms:W3CDTF">2020-05-15T05:12:49Z</dcterms:created>
  <dcterms:modified xsi:type="dcterms:W3CDTF">2026-04-27T07:58:30Z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0x0101009C4AACC15492D847B77C1F1A50E29C0A</vt:lpwstr>
  </property>
</Properties>
</file>